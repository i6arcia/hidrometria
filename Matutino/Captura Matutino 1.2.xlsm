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jgarcia\Desktop\IRVIN\Reportes SHI\Matutino\"/>
    </mc:Choice>
  </mc:AlternateContent>
  <bookViews>
    <workbookView xWindow="0" yWindow="0" windowWidth="25200" windowHeight="11985"/>
  </bookViews>
  <sheets>
    <sheet name="PRESAS" sheetId="5" r:id="rId1"/>
    <sheet name="HIDROMETRICA" sheetId="3" r:id="rId2"/>
    <sheet name="Norte" sheetId="1" r:id="rId3"/>
    <sheet name="Sur" sheetId="2" r:id="rId4"/>
    <sheet name="Pluviometros" sheetId="6" r:id="rId5"/>
  </sheets>
  <functionGroups builtInGroupCount="18"/>
  <definedNames>
    <definedName name="_xlnm._FilterDatabase" localSheetId="2" hidden="1">Norte!$B$1:$K$65</definedName>
    <definedName name="_xlnm.Print_Area" localSheetId="1">HIDROMETRICA!$B$1:$H$55</definedName>
    <definedName name="_xlnm.Print_Area" localSheetId="2">Norte!$B$1:$K$69</definedName>
    <definedName name="_xlnm.Print_Area" localSheetId="3">Sur!$B$1:$K$67</definedName>
  </definedNames>
  <calcPr calcId="152511"/>
</workbook>
</file>

<file path=xl/calcChain.xml><?xml version="1.0" encoding="utf-8"?>
<calcChain xmlns="http://schemas.openxmlformats.org/spreadsheetml/2006/main">
  <c r="H46" i="5" l="1"/>
  <c r="H36" i="5"/>
  <c r="N38" i="5"/>
  <c r="N39" i="5" s="1"/>
  <c r="H29" i="5"/>
  <c r="H27" i="5"/>
  <c r="H22" i="5"/>
  <c r="H20" i="5"/>
  <c r="H18" i="5"/>
  <c r="H16" i="5"/>
  <c r="H14" i="5"/>
  <c r="H12" i="5"/>
  <c r="J18" i="5"/>
  <c r="D24" i="5" l="1"/>
</calcChain>
</file>

<file path=xl/sharedStrings.xml><?xml version="1.0" encoding="utf-8"?>
<sst xmlns="http://schemas.openxmlformats.org/spreadsheetml/2006/main" count="883" uniqueCount="479">
  <si>
    <t>JEFATURA DE PROYECTO DE HIDROMETEOROLOGIA</t>
  </si>
  <si>
    <t>ESTACION</t>
  </si>
  <si>
    <t>EDO.</t>
  </si>
  <si>
    <t>CUENCA</t>
  </si>
  <si>
    <t>PRESION</t>
  </si>
  <si>
    <t>HR</t>
  </si>
  <si>
    <t>LLUVIA</t>
  </si>
  <si>
    <t>T. AMB.</t>
  </si>
  <si>
    <t>T. MAX.</t>
  </si>
  <si>
    <t>T. MIN.</t>
  </si>
  <si>
    <t>EVAP.</t>
  </si>
  <si>
    <t>TERRERILLOS</t>
  </si>
  <si>
    <t>LOS HULES</t>
  </si>
  <si>
    <t>PLATON SANCHEZ</t>
  </si>
  <si>
    <t>TEMPOAL</t>
  </si>
  <si>
    <t>EL HIGO</t>
  </si>
  <si>
    <t>EL OLIVO</t>
  </si>
  <si>
    <t>PANUCO</t>
  </si>
  <si>
    <t>CHICAYAN</t>
  </si>
  <si>
    <t>SOMBRERETE</t>
  </si>
  <si>
    <t>TUXPAN</t>
  </si>
  <si>
    <t>POZA RICA</t>
  </si>
  <si>
    <t>V. CARRANZA</t>
  </si>
  <si>
    <t>XICOTEPEC DE J.</t>
  </si>
  <si>
    <t>CHIGNAHUAPAN</t>
  </si>
  <si>
    <t>AHUAZOTEPEC</t>
  </si>
  <si>
    <t>HUAUCHINANGO</t>
  </si>
  <si>
    <t>LA LAGUNA</t>
  </si>
  <si>
    <t>NECAXA</t>
  </si>
  <si>
    <t>TENANGO</t>
  </si>
  <si>
    <t>LOS REYES</t>
  </si>
  <si>
    <t>LA SOLEDAD</t>
  </si>
  <si>
    <t>OYAMELES</t>
  </si>
  <si>
    <t>PAPANTLA</t>
  </si>
  <si>
    <t>CUETZALAN DEL P.</t>
  </si>
  <si>
    <t>RANCHO NUEVO</t>
  </si>
  <si>
    <t>ZACAPOAXTLA</t>
  </si>
  <si>
    <t>TEZIUTLAN</t>
  </si>
  <si>
    <t>ALCHICHICA</t>
  </si>
  <si>
    <t>ALTOTONGA</t>
  </si>
  <si>
    <t>TOMATA</t>
  </si>
  <si>
    <t>MTZ. DE LA TORRE</t>
  </si>
  <si>
    <t>LIBERTAD</t>
  </si>
  <si>
    <t>TENOCHTITLAN</t>
  </si>
  <si>
    <t>MISANTLA</t>
  </si>
  <si>
    <t>LAS VIGAS</t>
  </si>
  <si>
    <t>LA JOYA</t>
  </si>
  <si>
    <t>NAOLINCO</t>
  </si>
  <si>
    <t>IDOLOS</t>
  </si>
  <si>
    <t>BANDERILLA</t>
  </si>
  <si>
    <t>XALAPA (OBSERV.)</t>
  </si>
  <si>
    <t>XALAPA (C.F.E.)</t>
  </si>
  <si>
    <t>TEOCELO</t>
  </si>
  <si>
    <t>COATEPEC</t>
  </si>
  <si>
    <t>BRIONES</t>
  </si>
  <si>
    <t>VER</t>
  </si>
  <si>
    <t>PUE</t>
  </si>
  <si>
    <t>CAZONES</t>
  </si>
  <si>
    <t>TECOLUTLA</t>
  </si>
  <si>
    <t>BALSAS</t>
  </si>
  <si>
    <t>NAUTLA</t>
  </si>
  <si>
    <t>ACTOPAN</t>
  </si>
  <si>
    <t>ANTIGUA</t>
  </si>
  <si>
    <t>CARRIZAL</t>
  </si>
  <si>
    <t>TAMARINDO</t>
  </si>
  <si>
    <t>CARDEL</t>
  </si>
  <si>
    <t>VERACRUZ</t>
  </si>
  <si>
    <t>HUATUSCO</t>
  </si>
  <si>
    <t>VILLA TEJEDA</t>
  </si>
  <si>
    <t>M.F. ALTAMIRANO</t>
  </si>
  <si>
    <t>PASO DEL TORO</t>
  </si>
  <si>
    <t>EL TEJAR</t>
  </si>
  <si>
    <t>PASO CARRETAS</t>
  </si>
  <si>
    <t>LOMA GRANDE</t>
  </si>
  <si>
    <t>ORIZABA</t>
  </si>
  <si>
    <t>P.M. ALEMAN</t>
  </si>
  <si>
    <t>P.M. DE LA MADRID</t>
  </si>
  <si>
    <t>JACATEPEC</t>
  </si>
  <si>
    <t>TUXTEPEC</t>
  </si>
  <si>
    <t>PAPALOAPAN</t>
  </si>
  <si>
    <t>AYUTLA</t>
  </si>
  <si>
    <t>AZUETA</t>
  </si>
  <si>
    <t>GARRO</t>
  </si>
  <si>
    <t>MARIA LOMBARDO</t>
  </si>
  <si>
    <t>SAN J. EVANGELISTA</t>
  </si>
  <si>
    <t>LAUCHAPAN</t>
  </si>
  <si>
    <t>CUATOTOLAPAN</t>
  </si>
  <si>
    <t>LA CEIBILLA</t>
  </si>
  <si>
    <t>CHACALTIANGUIS</t>
  </si>
  <si>
    <t>RADAR ALVARADO</t>
  </si>
  <si>
    <t>ANGEL R. CABADA</t>
  </si>
  <si>
    <t>NARANJAL (LERDO)</t>
  </si>
  <si>
    <t>SIHUAPAN</t>
  </si>
  <si>
    <t>JESUS CARRANZA</t>
  </si>
  <si>
    <t>LAS PERLAS</t>
  </si>
  <si>
    <t>TIERRA MORADA</t>
  </si>
  <si>
    <t>MINZAPAN</t>
  </si>
  <si>
    <t>HIDALGOTITLAN</t>
  </si>
  <si>
    <t>MINATITLAN</t>
  </si>
  <si>
    <t>LA CANGREJERA</t>
  </si>
  <si>
    <t>PB1 LA CANGREJERA</t>
  </si>
  <si>
    <t>PB3 LA CANGREJERA</t>
  </si>
  <si>
    <t>COATZACOALCOS</t>
  </si>
  <si>
    <t>SAN J. DEL CARMEN</t>
  </si>
  <si>
    <t>LAS CHOAPAS</t>
  </si>
  <si>
    <t>AGUA DULCE CENTRO</t>
  </si>
  <si>
    <t>OAX</t>
  </si>
  <si>
    <t>JAMAPA-COTAXTLA</t>
  </si>
  <si>
    <t>PB2 LA CANGREJERA</t>
  </si>
  <si>
    <t>INFORMACION HIDROMETRICA DE LAS ULTIMAS 24 HORAS</t>
  </si>
  <si>
    <t>EL NARANJILLO</t>
  </si>
  <si>
    <t>SAN JUAN EVENGELISTA</t>
  </si>
  <si>
    <t>CORRIENTE</t>
  </si>
  <si>
    <t>ESCALA</t>
  </si>
  <si>
    <t>CRITICA</t>
  </si>
  <si>
    <t>GASTO</t>
  </si>
  <si>
    <t>CRITICO</t>
  </si>
  <si>
    <t>AYER</t>
  </si>
  <si>
    <t xml:space="preserve">ESCALA </t>
  </si>
  <si>
    <t>HOY</t>
  </si>
  <si>
    <t>RIO TEMPOAL</t>
  </si>
  <si>
    <t>RIO COATZACOALCOS</t>
  </si>
  <si>
    <t>SAN JOSE CHILAPA</t>
  </si>
  <si>
    <t>EL MAGUEY AZUETA</t>
  </si>
  <si>
    <t>LA LANA</t>
  </si>
  <si>
    <t>PUENTE GRANDE</t>
  </si>
  <si>
    <t>TLACOTALPAN</t>
  </si>
  <si>
    <t>SAN JOSE DEL CARMEN</t>
  </si>
  <si>
    <t>RIO MOCTEZUMA</t>
  </si>
  <si>
    <t>RIO PANUCO</t>
  </si>
  <si>
    <t>RIO TUXPAN</t>
  </si>
  <si>
    <t>RIO CAZONES</t>
  </si>
  <si>
    <t>RIO TECOLUTLA</t>
  </si>
  <si>
    <t>RIO BOBOS</t>
  </si>
  <si>
    <t>RIO LA ANTIGUA</t>
  </si>
  <si>
    <t>RIO ACTOPAN</t>
  </si>
  <si>
    <t>RIO JAMAPA</t>
  </si>
  <si>
    <t>RIO VALLE NACIONAL</t>
  </si>
  <si>
    <t>RIO PAPALOAPAN</t>
  </si>
  <si>
    <t>RIOTESECHOACAN</t>
  </si>
  <si>
    <t>RIO LA LANA</t>
  </si>
  <si>
    <t>RIO TRINIDAD</t>
  </si>
  <si>
    <t>RIO SAN JUAN</t>
  </si>
  <si>
    <t>RIO SAN ANDRES</t>
  </si>
  <si>
    <t>RIO SANTIAGO</t>
  </si>
  <si>
    <t>RIO JALTEPEC</t>
  </si>
  <si>
    <t>RIO UXPANAPA</t>
  </si>
  <si>
    <t>RIO HUANZUNTLAN</t>
  </si>
  <si>
    <t>mts.</t>
  </si>
  <si>
    <t>m3/s</t>
  </si>
  <si>
    <t>PRESA</t>
  </si>
  <si>
    <t>Mm3</t>
  </si>
  <si>
    <t>CAP.TOTAL</t>
  </si>
  <si>
    <t>CAP, UTIL</t>
  </si>
  <si>
    <t xml:space="preserve">% DE </t>
  </si>
  <si>
    <t>ALM.</t>
  </si>
  <si>
    <t>Q. DE</t>
  </si>
  <si>
    <t>ENTRADA</t>
  </si>
  <si>
    <t>m3/seg.</t>
  </si>
  <si>
    <t>SALIDA</t>
  </si>
  <si>
    <t>ALMACENAMIENTO Mm3</t>
  </si>
  <si>
    <t>Q.DE</t>
  </si>
  <si>
    <t>h.CARGA VERTEDOR m.</t>
  </si>
  <si>
    <t>a.ABERTURA DE COMP.m.</t>
  </si>
  <si>
    <t>e.ELEV.LAB.SUP.COMP.m.</t>
  </si>
  <si>
    <t>E</t>
  </si>
  <si>
    <t>D</t>
  </si>
  <si>
    <t>O</t>
  </si>
  <si>
    <t>SOLEDAD</t>
  </si>
  <si>
    <t>SUB-TOTAL</t>
  </si>
  <si>
    <t>PAPÀLOAPAN</t>
  </si>
  <si>
    <t>NEXAPA</t>
  </si>
  <si>
    <t>PANUCO-TUXPAN-PAPALOAPAN-COATZACOALCOS</t>
  </si>
  <si>
    <t>SIN DATO</t>
  </si>
  <si>
    <t>TOTAL</t>
  </si>
  <si>
    <t>ESC.</t>
  </si>
  <si>
    <t>Q.M.D.</t>
  </si>
  <si>
    <t>Q.M.I.</t>
  </si>
  <si>
    <t>TROY IND.</t>
  </si>
  <si>
    <t>STO.DOMINGO</t>
  </si>
  <si>
    <t>PESCADITOS</t>
  </si>
  <si>
    <t>PATLA:</t>
  </si>
  <si>
    <t>TEPEXI:</t>
  </si>
  <si>
    <t>ELEVACION  EMB. M.</t>
  </si>
  <si>
    <t>LLUVIAS</t>
  </si>
  <si>
    <t>PEMEX =</t>
  </si>
  <si>
    <t>C.N.A. =</t>
  </si>
  <si>
    <t>MORELOS =</t>
  </si>
  <si>
    <t>9, 703.35</t>
  </si>
  <si>
    <t>ORGANISMO DE CUENCA GOLFO CENTRO</t>
  </si>
  <si>
    <t>COMISIÓN NACIONAL DEL AGUA</t>
  </si>
  <si>
    <t>INFORMACIÓN CLIMATOLOGICA DE LAS ULTIMAS 24 HORAS</t>
  </si>
  <si>
    <t>ESTACIÓN</t>
  </si>
  <si>
    <t>PRESIÓN</t>
  </si>
  <si>
    <t>T. MÁX..</t>
  </si>
  <si>
    <t>ÍDOLOS</t>
  </si>
  <si>
    <t>USILA</t>
  </si>
  <si>
    <t>EL MORALILLO</t>
  </si>
  <si>
    <t>LAG. DE CATEMACO</t>
  </si>
  <si>
    <t>ZARAGOZA</t>
  </si>
  <si>
    <t>SAN FELIPE USILA</t>
  </si>
  <si>
    <t>AVILA CAMACHO</t>
  </si>
  <si>
    <t>HUAYACOCOTLA</t>
  </si>
  <si>
    <t>ESPINAL</t>
  </si>
  <si>
    <t>RIO KILATE</t>
  </si>
  <si>
    <t>VALLE NACIONAL</t>
  </si>
  <si>
    <t>AGUA DULCE</t>
  </si>
  <si>
    <t>APAPANTILLA</t>
  </si>
  <si>
    <t>TETELA DE OCAMPO</t>
  </si>
  <si>
    <t>CERRO GORDO</t>
  </si>
  <si>
    <t xml:space="preserve">CARDEL </t>
  </si>
  <si>
    <t>LOMA FINA</t>
  </si>
  <si>
    <t>CUAJIMOLOYAS</t>
  </si>
  <si>
    <t>LA CARBONERA</t>
  </si>
  <si>
    <t>ATEPEC</t>
  </si>
  <si>
    <t>ZACATEPEC</t>
  </si>
  <si>
    <t>SONTECOMAPAN</t>
  </si>
  <si>
    <t>PUEBLA</t>
  </si>
  <si>
    <t>OAXACA</t>
  </si>
  <si>
    <t>BUENOS AIRES</t>
  </si>
  <si>
    <t>SONTALACO</t>
  </si>
  <si>
    <t>NARANJASTITLAN</t>
  </si>
  <si>
    <t>CHICOMAPA</t>
  </si>
  <si>
    <t>TEPEYAC</t>
  </si>
  <si>
    <t>COSOLAPA</t>
  </si>
  <si>
    <t>ZALAYETA</t>
  </si>
  <si>
    <t>TAPACHAPAN</t>
  </si>
  <si>
    <t>COSAUTLÁN</t>
  </si>
  <si>
    <t>IXTEPEJI</t>
  </si>
  <si>
    <t>EL ENCANTO</t>
  </si>
  <si>
    <t>CAMELPO</t>
  </si>
  <si>
    <t>TUXPANGO</t>
  </si>
  <si>
    <t>OTILPAN</t>
  </si>
  <si>
    <t>TOTUTLA</t>
  </si>
  <si>
    <t>RIO COTAXTLA</t>
  </si>
  <si>
    <t>RÍO TECOLAPAN</t>
  </si>
  <si>
    <t>RIO AGUADULCITA</t>
  </si>
  <si>
    <t>ÁLAMO</t>
  </si>
  <si>
    <t>PRESA EL MORALILLO</t>
  </si>
  <si>
    <t>ÁVILA CAMACHO</t>
  </si>
  <si>
    <t>IXTACAMAXTITLÁN</t>
  </si>
  <si>
    <t>TEPANGO DE RODRÍGUEZ</t>
  </si>
  <si>
    <t>ACATLÁN</t>
  </si>
  <si>
    <t>QUIMIXTLÁN</t>
  </si>
  <si>
    <t>TEHUACÁN</t>
  </si>
  <si>
    <t>ZOQUITLÁN</t>
  </si>
  <si>
    <t>TLACOTEPEC DE DÍAZ</t>
  </si>
  <si>
    <t>SANTIAGO NACALTEPEC</t>
  </si>
  <si>
    <t>RÍO MANZO LA LANA</t>
  </si>
  <si>
    <t>VILLA AZUETA</t>
  </si>
  <si>
    <t>MARÍA LOMBARDO</t>
  </si>
  <si>
    <t>JESÚS CARRANZA</t>
  </si>
  <si>
    <t>JÁLTIPAN</t>
  </si>
  <si>
    <t>RÍO CALABOZO</t>
  </si>
  <si>
    <t>RÍO LOS HULES</t>
  </si>
  <si>
    <t>EL RAUDAL</t>
  </si>
  <si>
    <t>TLAXCO</t>
  </si>
  <si>
    <t>METLALTOYUCA</t>
  </si>
  <si>
    <t>AMELUCA</t>
  </si>
  <si>
    <t>SAN JOSÉ ACATENO</t>
  </si>
  <si>
    <t>MIGUEL ALEMAN (Temascal)</t>
  </si>
  <si>
    <t>MIGUEL DE LA MADRID
(Cerro de Oro)</t>
  </si>
  <si>
    <t>PACHO VIEJO</t>
  </si>
  <si>
    <t>SAN JOSÉ NOVILLERO</t>
  </si>
  <si>
    <t>SAN BERNARDINO</t>
  </si>
  <si>
    <t>ALCOMUNGA</t>
  </si>
  <si>
    <t>LLUVIA:</t>
  </si>
  <si>
    <t>PB3</t>
  </si>
  <si>
    <t>LREHD</t>
  </si>
  <si>
    <t>LLAHD</t>
  </si>
  <si>
    <t>NNEPB</t>
  </si>
  <si>
    <t>NEXPB</t>
  </si>
  <si>
    <t>TENPB</t>
  </si>
  <si>
    <t>SOLPB</t>
  </si>
  <si>
    <t>TEMOX</t>
  </si>
  <si>
    <t>CDOOX</t>
  </si>
  <si>
    <t>PEMVC</t>
  </si>
  <si>
    <t>PECVC</t>
  </si>
  <si>
    <t>DCAVC</t>
  </si>
  <si>
    <t>PTXVC</t>
  </si>
  <si>
    <t>LDCVC</t>
  </si>
  <si>
    <t>LCAVC</t>
  </si>
  <si>
    <t>PTLPB</t>
  </si>
  <si>
    <t>TEPPB</t>
  </si>
  <si>
    <t>ENCANTO</t>
  </si>
  <si>
    <t>Q =</t>
  </si>
  <si>
    <t>TIRANTE</t>
  </si>
  <si>
    <t>Prec.</t>
  </si>
  <si>
    <t>Evap.</t>
  </si>
  <si>
    <t>Vertedor:</t>
  </si>
  <si>
    <t>Trasvases:</t>
  </si>
  <si>
    <t>PB1</t>
  </si>
  <si>
    <t>PB2</t>
  </si>
  <si>
    <t>Claves</t>
  </si>
  <si>
    <t>SBTVC</t>
  </si>
  <si>
    <t>TXPVC</t>
  </si>
  <si>
    <t>AVCPB</t>
  </si>
  <si>
    <t>PRCVC</t>
  </si>
  <si>
    <t>ESPVC</t>
  </si>
  <si>
    <t>MDTVC</t>
  </si>
  <si>
    <t>LIBVC</t>
  </si>
  <si>
    <t>CRRVC</t>
  </si>
  <si>
    <t>CRDVC</t>
  </si>
  <si>
    <t>ACTVC</t>
  </si>
  <si>
    <t>IDOVC</t>
  </si>
  <si>
    <t>ENRVC</t>
  </si>
  <si>
    <t>PDTVC</t>
  </si>
  <si>
    <t>ETEVC</t>
  </si>
  <si>
    <t>JACOX</t>
  </si>
  <si>
    <t>PAPOX</t>
  </si>
  <si>
    <t>CCLVC</t>
  </si>
  <si>
    <t>SJCVC</t>
  </si>
  <si>
    <t>VAZVC</t>
  </si>
  <si>
    <t>GARVC</t>
  </si>
  <si>
    <t>LLAVC</t>
  </si>
  <si>
    <t>MAROX</t>
  </si>
  <si>
    <t>SJEVC</t>
  </si>
  <si>
    <t>CTTVC</t>
  </si>
  <si>
    <t>LCEVC</t>
  </si>
  <si>
    <t>LAUVC</t>
  </si>
  <si>
    <t>PTGVC</t>
  </si>
  <si>
    <t>ARCVC</t>
  </si>
  <si>
    <t>TLCVC</t>
  </si>
  <si>
    <t>MNZVC</t>
  </si>
  <si>
    <t>JCRVC</t>
  </si>
  <si>
    <t>LPEVC</t>
  </si>
  <si>
    <t>HDTVC</t>
  </si>
  <si>
    <t>TMOVC</t>
  </si>
  <si>
    <t>MINVC</t>
  </si>
  <si>
    <t>JDCVC</t>
  </si>
  <si>
    <t>AGDVC</t>
  </si>
  <si>
    <t>PASO DE OVEJAS</t>
  </si>
  <si>
    <t>RIO PASO DE OVEJAS</t>
  </si>
  <si>
    <t>POVVC</t>
  </si>
  <si>
    <t>HUYVC</t>
  </si>
  <si>
    <t>ALAVC</t>
  </si>
  <si>
    <t>XDJPB</t>
  </si>
  <si>
    <t>APAPB</t>
  </si>
  <si>
    <t>VENPB</t>
  </si>
  <si>
    <t>IXTPB</t>
  </si>
  <si>
    <t>CNGPB</t>
  </si>
  <si>
    <t>TEOPB</t>
  </si>
  <si>
    <t>ZRGPB</t>
  </si>
  <si>
    <t>AHUPB</t>
  </si>
  <si>
    <t>TDRPB</t>
  </si>
  <si>
    <t>OYAPB</t>
  </si>
  <si>
    <t>ZCPPB</t>
  </si>
  <si>
    <t>CTZPB</t>
  </si>
  <si>
    <t>RNAPB</t>
  </si>
  <si>
    <t>PPNVC</t>
  </si>
  <si>
    <t>ACHPB</t>
  </si>
  <si>
    <t>TEZPB</t>
  </si>
  <si>
    <t>ALTVC</t>
  </si>
  <si>
    <t>TNCVC</t>
  </si>
  <si>
    <t>MZNVC</t>
  </si>
  <si>
    <t>RAUVC</t>
  </si>
  <si>
    <t>LVRVC</t>
  </si>
  <si>
    <t>JOYVC</t>
  </si>
  <si>
    <t>ACAVC</t>
  </si>
  <si>
    <t>NAOVC</t>
  </si>
  <si>
    <t>BANVC</t>
  </si>
  <si>
    <t>CEGVC</t>
  </si>
  <si>
    <t>ZALVC</t>
  </si>
  <si>
    <t>TCOVC</t>
  </si>
  <si>
    <t>COAVC</t>
  </si>
  <si>
    <t>TAPVC</t>
  </si>
  <si>
    <t>CDCVC</t>
  </si>
  <si>
    <t>QUIPB</t>
  </si>
  <si>
    <t>OTIVC</t>
  </si>
  <si>
    <t>XOBVC</t>
  </si>
  <si>
    <t>XCFVC</t>
  </si>
  <si>
    <t>BRIVC</t>
  </si>
  <si>
    <t>TAMVC</t>
  </si>
  <si>
    <t>LOFVC</t>
  </si>
  <si>
    <t>TLXPB</t>
  </si>
  <si>
    <t>MTLPB</t>
  </si>
  <si>
    <t>AMLPB</t>
  </si>
  <si>
    <t>HUAPB</t>
  </si>
  <si>
    <t>PAVVC</t>
  </si>
  <si>
    <t>VERVC</t>
  </si>
  <si>
    <t>TOTVC</t>
  </si>
  <si>
    <t>HTSVC</t>
  </si>
  <si>
    <t>VTEVC</t>
  </si>
  <si>
    <t>MFAVC</t>
  </si>
  <si>
    <t>TEHPB</t>
  </si>
  <si>
    <t>PCRPB</t>
  </si>
  <si>
    <t>LGRVC</t>
  </si>
  <si>
    <t>ORZVC</t>
  </si>
  <si>
    <t>SCIOX</t>
  </si>
  <si>
    <t>SMAOX</t>
  </si>
  <si>
    <t>ZOQPB</t>
  </si>
  <si>
    <t>TLPPB</t>
  </si>
  <si>
    <t>SNAOX</t>
  </si>
  <si>
    <t>LCAOX</t>
  </si>
  <si>
    <t>ATEOX</t>
  </si>
  <si>
    <t>SFUOX</t>
  </si>
  <si>
    <t>VANOX</t>
  </si>
  <si>
    <t>TUXOX</t>
  </si>
  <si>
    <t>ZACOX</t>
  </si>
  <si>
    <t>AYUOX</t>
  </si>
  <si>
    <t>RMLOX</t>
  </si>
  <si>
    <t>RALVC</t>
  </si>
  <si>
    <t>NLTVC</t>
  </si>
  <si>
    <t>SIHVC</t>
  </si>
  <si>
    <t>SONVC</t>
  </si>
  <si>
    <t>JALVC</t>
  </si>
  <si>
    <t>PCNVC</t>
  </si>
  <si>
    <t>CB2VC</t>
  </si>
  <si>
    <t>PB3VC</t>
  </si>
  <si>
    <t>COTVC</t>
  </si>
  <si>
    <t>SJNVC</t>
  </si>
  <si>
    <t>SBLPB</t>
  </si>
  <si>
    <t>AGAPB</t>
  </si>
  <si>
    <t>U. DE LA SIERRA</t>
  </si>
  <si>
    <t>XALAPA OLMOS</t>
  </si>
  <si>
    <t>UDSPB</t>
  </si>
  <si>
    <t>XOLVC</t>
  </si>
  <si>
    <t>SJAPB</t>
  </si>
  <si>
    <t>Milcahual</t>
  </si>
  <si>
    <t>MILVC</t>
  </si>
  <si>
    <t>Xalapa Magisterial</t>
  </si>
  <si>
    <t>Alto Lucero</t>
  </si>
  <si>
    <t>Pacho Viejo</t>
  </si>
  <si>
    <t>Piletas</t>
  </si>
  <si>
    <t>TZAVC</t>
  </si>
  <si>
    <t>TRES ZAPOTES</t>
  </si>
  <si>
    <t xml:space="preserve"> </t>
  </si>
  <si>
    <t>Desviación estándar</t>
  </si>
  <si>
    <t>Inap</t>
  </si>
  <si>
    <t>TENDENCIA</t>
  </si>
  <si>
    <t>En ascenso</t>
  </si>
  <si>
    <t>Sobre su nivel</t>
  </si>
  <si>
    <t>En descenso</t>
  </si>
  <si>
    <t>ENFASIS</t>
  </si>
  <si>
    <t>Sin riesgo</t>
  </si>
  <si>
    <t>Próximo a NAMO</t>
  </si>
  <si>
    <t>Superó NAMO</t>
  </si>
  <si>
    <t>Valor con error</t>
  </si>
  <si>
    <t>3.A65</t>
  </si>
  <si>
    <t>ALUVC</t>
  </si>
  <si>
    <t>PILVC</t>
  </si>
  <si>
    <t>SEDVC</t>
  </si>
  <si>
    <t>XMGVC</t>
  </si>
  <si>
    <t>XCRVC</t>
  </si>
  <si>
    <t>XREVC</t>
  </si>
  <si>
    <t>XSUVC</t>
  </si>
  <si>
    <t>CUMVC</t>
  </si>
  <si>
    <t>CHCPB</t>
  </si>
  <si>
    <t>TETPB</t>
  </si>
  <si>
    <t>ACAPB</t>
  </si>
  <si>
    <t>TBPVC</t>
  </si>
  <si>
    <t>TLQVC</t>
  </si>
  <si>
    <t>STXVC</t>
  </si>
  <si>
    <t>TBNVC</t>
  </si>
  <si>
    <t>PAJVC</t>
  </si>
  <si>
    <t>PLQ Sedeño</t>
  </si>
  <si>
    <t>Xalapa Cristal</t>
  </si>
  <si>
    <t>Xalapa Revolución</t>
  </si>
  <si>
    <t>Xalapa sumidero</t>
  </si>
  <si>
    <t>La Cumbre</t>
  </si>
  <si>
    <t>Acatepec</t>
  </si>
  <si>
    <t>Chilac</t>
  </si>
  <si>
    <t>Teotipilco</t>
  </si>
  <si>
    <t>Tierra Blanca AC</t>
  </si>
  <si>
    <t>Tlaquilpa</t>
  </si>
  <si>
    <t>San Andrés Tuxtla AC</t>
  </si>
  <si>
    <t>Tebanca</t>
  </si>
  <si>
    <t>Pajapan</t>
  </si>
  <si>
    <t>Tuxpan</t>
  </si>
  <si>
    <t>Actopan</t>
  </si>
  <si>
    <t>La Antigua</t>
  </si>
  <si>
    <t>Papaloapan</t>
  </si>
  <si>
    <t>Coatzacoalcos</t>
  </si>
  <si>
    <t>Xalapa, Ver. -- viernes 25 de septiembre de 2020 --</t>
  </si>
  <si>
    <t>FORVC</t>
  </si>
  <si>
    <t>Fortín</t>
  </si>
  <si>
    <t>PTNVC</t>
  </si>
  <si>
    <t>Potrero Nuevo</t>
  </si>
  <si>
    <t>Cotaxtla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</si>
</sst>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"/>
    <numFmt numFmtId="165" formatCode="#,##0.000"/>
    <numFmt numFmtId="166" formatCode="0.0"/>
    <numFmt numFmtId="167" formatCode="0.000\ &quot;m³/s&quot;"/>
    <numFmt numFmtId="168" formatCode="0.00\ &quot;msnm&quot;"/>
  </numFmts>
  <fonts count="22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sz val="6"/>
      <name val="Arial"/>
      <family val="2"/>
    </font>
    <font>
      <b/>
      <sz val="11"/>
      <name val="Arial"/>
      <family val="2"/>
    </font>
    <font>
      <b/>
      <sz val="10"/>
      <color theme="1"/>
      <name val="Soberana Sans"/>
      <family val="3"/>
    </font>
    <font>
      <sz val="10"/>
      <color theme="1"/>
      <name val="Soberana Sans"/>
      <family val="3"/>
    </font>
    <font>
      <sz val="10"/>
      <name val="Arial"/>
      <family val="2"/>
    </font>
    <font>
      <sz val="10"/>
      <color theme="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9"/>
      <color rgb="FFC00000"/>
      <name val="Arial"/>
      <family val="2"/>
    </font>
    <font>
      <sz val="9"/>
      <color rgb="FF000000"/>
      <name val="Arial"/>
      <family val="2"/>
    </font>
    <font>
      <b/>
      <sz val="10"/>
      <color theme="0"/>
      <name val="Arial"/>
      <family val="2"/>
    </font>
    <font>
      <b/>
      <sz val="9"/>
      <color rgb="FFC00000"/>
      <name val="Arial"/>
      <family val="2"/>
    </font>
    <font>
      <sz val="10"/>
      <color rgb="FF000000"/>
      <name val="Verdana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CC"/>
        <bgColor indexed="64"/>
      </patternFill>
    </fill>
    <fill>
      <patternFill patternType="gray125">
        <bgColor theme="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6" tint="0.79998168889431442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theme="1"/>
      </left>
      <right style="thin">
        <color theme="1"/>
      </right>
      <top style="double">
        <color theme="1"/>
      </top>
      <bottom/>
      <diagonal/>
    </border>
    <border>
      <left style="thin">
        <color theme="1"/>
      </left>
      <right style="double">
        <color theme="1"/>
      </right>
      <top style="double">
        <color theme="1"/>
      </top>
      <bottom/>
      <diagonal/>
    </border>
    <border>
      <left style="double">
        <color theme="1"/>
      </left>
      <right style="thin">
        <color theme="1"/>
      </right>
      <top style="double">
        <color theme="1"/>
      </top>
      <bottom style="double">
        <color theme="1"/>
      </bottom>
      <diagonal/>
    </border>
    <border>
      <left style="thin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theme="1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409">
    <xf numFmtId="0" fontId="0" fillId="0" borderId="0" xfId="0"/>
    <xf numFmtId="0" fontId="0" fillId="0" borderId="1" xfId="0" applyBorder="1"/>
    <xf numFmtId="0" fontId="0" fillId="0" borderId="20" xfId="0" applyBorder="1"/>
    <xf numFmtId="0" fontId="1" fillId="0" borderId="29" xfId="0" applyFont="1" applyBorder="1"/>
    <xf numFmtId="0" fontId="0" fillId="0" borderId="15" xfId="0" applyBorder="1"/>
    <xf numFmtId="164" fontId="0" fillId="0" borderId="15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1" fillId="0" borderId="47" xfId="0" applyFont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64" fontId="0" fillId="0" borderId="15" xfId="0" applyNumberFormat="1" applyBorder="1" applyAlignment="1">
      <alignment horizontal="center" vertical="center"/>
    </xf>
    <xf numFmtId="164" fontId="0" fillId="0" borderId="32" xfId="0" applyNumberFormat="1" applyBorder="1" applyAlignment="1">
      <alignment horizontal="center" vertical="center"/>
    </xf>
    <xf numFmtId="0" fontId="6" fillId="2" borderId="20" xfId="0" applyFont="1" applyFill="1" applyBorder="1"/>
    <xf numFmtId="164" fontId="10" fillId="4" borderId="15" xfId="0" applyNumberFormat="1" applyFont="1" applyFill="1" applyBorder="1" applyAlignment="1">
      <alignment horizontal="center" vertical="center"/>
    </xf>
    <xf numFmtId="0" fontId="10" fillId="4" borderId="20" xfId="0" applyFont="1" applyFill="1" applyBorder="1" applyAlignment="1">
      <alignment horizontal="center" vertical="center"/>
    </xf>
    <xf numFmtId="164" fontId="10" fillId="4" borderId="32" xfId="0" applyNumberFormat="1" applyFont="1" applyFill="1" applyBorder="1" applyAlignment="1">
      <alignment horizontal="center" vertical="center"/>
    </xf>
    <xf numFmtId="0" fontId="10" fillId="4" borderId="33" xfId="0" applyFont="1" applyFill="1" applyBorder="1" applyAlignment="1">
      <alignment horizontal="center" vertical="center"/>
    </xf>
    <xf numFmtId="2" fontId="10" fillId="4" borderId="20" xfId="0" applyNumberFormat="1" applyFont="1" applyFill="1" applyBorder="1" applyAlignment="1">
      <alignment horizontal="center" vertical="center"/>
    </xf>
    <xf numFmtId="0" fontId="10" fillId="5" borderId="20" xfId="0" applyFont="1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2" fontId="10" fillId="5" borderId="20" xfId="0" applyNumberFormat="1" applyFont="1" applyFill="1" applyBorder="1" applyAlignment="1">
      <alignment horizontal="center" vertical="center"/>
    </xf>
    <xf numFmtId="2" fontId="10" fillId="5" borderId="15" xfId="0" applyNumberFormat="1" applyFont="1" applyFill="1" applyBorder="1" applyAlignment="1">
      <alignment horizontal="center" vertical="center"/>
    </xf>
    <xf numFmtId="164" fontId="10" fillId="5" borderId="15" xfId="0" applyNumberFormat="1" applyFont="1" applyFill="1" applyBorder="1" applyAlignment="1">
      <alignment horizontal="center" vertical="center"/>
    </xf>
    <xf numFmtId="2" fontId="0" fillId="0" borderId="15" xfId="0" applyNumberFormat="1" applyBorder="1" applyAlignment="1">
      <alignment horizontal="center" vertical="center"/>
    </xf>
    <xf numFmtId="164" fontId="0" fillId="0" borderId="15" xfId="0" applyNumberFormat="1" applyFill="1" applyBorder="1" applyAlignment="1">
      <alignment horizontal="center" vertical="center"/>
    </xf>
    <xf numFmtId="0" fontId="11" fillId="3" borderId="51" xfId="0" applyFont="1" applyFill="1" applyBorder="1" applyAlignment="1">
      <alignment horizontal="center"/>
    </xf>
    <xf numFmtId="0" fontId="11" fillId="3" borderId="53" xfId="0" applyFont="1" applyFill="1" applyBorder="1" applyAlignment="1">
      <alignment horizontal="center"/>
    </xf>
    <xf numFmtId="2" fontId="12" fillId="3" borderId="54" xfId="0" applyNumberFormat="1" applyFont="1" applyFill="1" applyBorder="1" applyAlignment="1">
      <alignment horizontal="center"/>
    </xf>
    <xf numFmtId="2" fontId="0" fillId="0" borderId="20" xfId="0" applyNumberFormat="1" applyFill="1" applyBorder="1" applyAlignment="1">
      <alignment horizontal="center" vertical="center"/>
    </xf>
    <xf numFmtId="0" fontId="0" fillId="0" borderId="0" xfId="0" applyFill="1"/>
    <xf numFmtId="0" fontId="1" fillId="0" borderId="15" xfId="0" applyFont="1" applyBorder="1" applyAlignment="1">
      <alignment horizontal="right"/>
    </xf>
    <xf numFmtId="0" fontId="1" fillId="0" borderId="20" xfId="0" applyFont="1" applyBorder="1" applyAlignment="1">
      <alignment horizontal="center"/>
    </xf>
    <xf numFmtId="0" fontId="3" fillId="2" borderId="18" xfId="0" applyFont="1" applyFill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0" fillId="5" borderId="2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10" fillId="5" borderId="15" xfId="0" applyNumberFormat="1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5" borderId="25" xfId="0" applyFill="1" applyBorder="1"/>
    <xf numFmtId="0" fontId="10" fillId="5" borderId="15" xfId="0" applyFont="1" applyFill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166" fontId="0" fillId="6" borderId="27" xfId="0" applyNumberFormat="1" applyFill="1" applyBorder="1" applyAlignment="1">
      <alignment horizontal="center" vertical="center"/>
    </xf>
    <xf numFmtId="166" fontId="0" fillId="6" borderId="16" xfId="0" applyNumberFormat="1" applyFill="1" applyBorder="1" applyAlignment="1">
      <alignment horizontal="center" vertical="center"/>
    </xf>
    <xf numFmtId="2" fontId="0" fillId="6" borderId="21" xfId="0" applyNumberFormat="1" applyFill="1" applyBorder="1" applyAlignment="1">
      <alignment horizontal="center" vertical="center"/>
    </xf>
    <xf numFmtId="2" fontId="0" fillId="6" borderId="20" xfId="0" applyNumberFormat="1" applyFill="1" applyBorder="1" applyAlignment="1">
      <alignment horizontal="center" vertical="center"/>
    </xf>
    <xf numFmtId="166" fontId="3" fillId="6" borderId="38" xfId="0" applyNumberFormat="1" applyFont="1" applyFill="1" applyBorder="1" applyAlignment="1">
      <alignment horizontal="center" vertical="center"/>
    </xf>
    <xf numFmtId="166" fontId="3" fillId="6" borderId="32" xfId="0" applyNumberFormat="1" applyFont="1" applyFill="1" applyBorder="1" applyAlignment="1">
      <alignment horizontal="center" vertical="center"/>
    </xf>
    <xf numFmtId="166" fontId="3" fillId="6" borderId="37" xfId="0" applyNumberFormat="1" applyFont="1" applyFill="1" applyBorder="1" applyAlignment="1">
      <alignment horizontal="center" vertical="center"/>
    </xf>
    <xf numFmtId="2" fontId="3" fillId="6" borderId="32" xfId="0" applyNumberFormat="1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166" fontId="3" fillId="6" borderId="1" xfId="0" applyNumberFormat="1" applyFont="1" applyFill="1" applyBorder="1" applyAlignment="1">
      <alignment horizontal="center" vertical="center"/>
    </xf>
    <xf numFmtId="2" fontId="3" fillId="6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2" fontId="3" fillId="6" borderId="20" xfId="0" applyNumberFormat="1" applyFont="1" applyFill="1" applyBorder="1" applyAlignment="1">
      <alignment horizontal="center" vertical="center"/>
    </xf>
    <xf numFmtId="0" fontId="3" fillId="6" borderId="20" xfId="0" applyFont="1" applyFill="1" applyBorder="1" applyAlignment="1">
      <alignment horizontal="center" vertical="center"/>
    </xf>
    <xf numFmtId="166" fontId="3" fillId="6" borderId="20" xfId="0" applyNumberFormat="1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166" fontId="3" fillId="6" borderId="18" xfId="0" applyNumberFormat="1" applyFont="1" applyFill="1" applyBorder="1" applyAlignment="1">
      <alignment horizontal="center" vertical="center"/>
    </xf>
    <xf numFmtId="166" fontId="3" fillId="6" borderId="21" xfId="0" applyNumberFormat="1" applyFont="1" applyFill="1" applyBorder="1" applyAlignment="1">
      <alignment horizontal="center" vertical="center"/>
    </xf>
    <xf numFmtId="164" fontId="3" fillId="0" borderId="15" xfId="0" applyNumberFormat="1" applyFont="1" applyFill="1" applyBorder="1" applyAlignment="1">
      <alignment horizontal="center" vertical="center"/>
    </xf>
    <xf numFmtId="164" fontId="0" fillId="6" borderId="21" xfId="0" applyNumberFormat="1" applyFill="1" applyBorder="1" applyAlignment="1">
      <alignment horizontal="center" vertical="center"/>
    </xf>
    <xf numFmtId="164" fontId="1" fillId="6" borderId="27" xfId="0" applyNumberFormat="1" applyFont="1" applyFill="1" applyBorder="1" applyAlignment="1">
      <alignment horizontal="center"/>
    </xf>
    <xf numFmtId="0" fontId="0" fillId="6" borderId="33" xfId="0" applyFill="1" applyBorder="1" applyAlignment="1">
      <alignment horizontal="center" vertical="center"/>
    </xf>
    <xf numFmtId="166" fontId="0" fillId="6" borderId="21" xfId="0" applyNumberFormat="1" applyFill="1" applyBorder="1" applyAlignment="1">
      <alignment horizontal="center"/>
    </xf>
    <xf numFmtId="0" fontId="0" fillId="6" borderId="20" xfId="0" applyFill="1" applyBorder="1" applyAlignment="1">
      <alignment horizontal="center" vertical="center"/>
    </xf>
    <xf numFmtId="164" fontId="0" fillId="6" borderId="16" xfId="0" applyNumberFormat="1" applyFill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/>
    </xf>
    <xf numFmtId="164" fontId="0" fillId="7" borderId="20" xfId="0" applyNumberFormat="1" applyFill="1" applyBorder="1" applyAlignment="1">
      <alignment horizontal="center"/>
    </xf>
    <xf numFmtId="164" fontId="0" fillId="7" borderId="32" xfId="0" applyNumberFormat="1" applyFill="1" applyBorder="1" applyAlignment="1">
      <alignment horizontal="center"/>
    </xf>
    <xf numFmtId="164" fontId="0" fillId="7" borderId="33" xfId="0" applyNumberFormat="1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0" fontId="0" fillId="7" borderId="32" xfId="0" applyFill="1" applyBorder="1" applyAlignment="1">
      <alignment horizontal="center"/>
    </xf>
    <xf numFmtId="164" fontId="0" fillId="7" borderId="15" xfId="0" applyNumberFormat="1" applyFill="1" applyBorder="1" applyAlignment="1">
      <alignment horizontal="center" vertical="center"/>
    </xf>
    <xf numFmtId="164" fontId="0" fillId="7" borderId="20" xfId="0" applyNumberFormat="1" applyFill="1" applyBorder="1" applyAlignment="1">
      <alignment horizontal="center" vertical="center"/>
    </xf>
    <xf numFmtId="165" fontId="0" fillId="7" borderId="15" xfId="0" applyNumberFormat="1" applyFill="1" applyBorder="1" applyAlignment="1">
      <alignment horizontal="center" vertical="center" wrapText="1"/>
    </xf>
    <xf numFmtId="164" fontId="0" fillId="7" borderId="20" xfId="0" applyNumberFormat="1" applyFill="1" applyBorder="1" applyAlignment="1">
      <alignment horizontal="center" vertical="center" wrapText="1"/>
    </xf>
    <xf numFmtId="164" fontId="0" fillId="7" borderId="1" xfId="0" applyNumberFormat="1" applyFill="1" applyBorder="1" applyAlignment="1">
      <alignment horizontal="center" vertical="center"/>
    </xf>
    <xf numFmtId="0" fontId="3" fillId="5" borderId="26" xfId="0" applyFont="1" applyFill="1" applyBorder="1" applyAlignment="1">
      <alignment horizontal="center"/>
    </xf>
    <xf numFmtId="165" fontId="0" fillId="5" borderId="25" xfId="0" applyNumberFormat="1" applyFill="1" applyBorder="1" applyAlignment="1">
      <alignment horizontal="center"/>
    </xf>
    <xf numFmtId="0" fontId="0" fillId="5" borderId="13" xfId="0" applyFill="1" applyBorder="1" applyAlignment="1">
      <alignment horizontal="center" vertical="center"/>
    </xf>
    <xf numFmtId="164" fontId="3" fillId="5" borderId="26" xfId="0" applyNumberFormat="1" applyFont="1" applyFill="1" applyBorder="1" applyAlignment="1">
      <alignment horizontal="center"/>
    </xf>
    <xf numFmtId="164" fontId="1" fillId="5" borderId="26" xfId="0" applyNumberFormat="1" applyFont="1" applyFill="1" applyBorder="1" applyAlignment="1">
      <alignment horizontal="center" vertical="center"/>
    </xf>
    <xf numFmtId="164" fontId="1" fillId="5" borderId="27" xfId="0" applyNumberFormat="1" applyFont="1" applyFill="1" applyBorder="1" applyAlignment="1">
      <alignment horizontal="center" vertical="center"/>
    </xf>
    <xf numFmtId="164" fontId="3" fillId="6" borderId="18" xfId="0" applyNumberFormat="1" applyFont="1" applyFill="1" applyBorder="1" applyAlignment="1">
      <alignment horizontal="center" vertical="center"/>
    </xf>
    <xf numFmtId="166" fontId="3" fillId="6" borderId="16" xfId="0" applyNumberFormat="1" applyFont="1" applyFill="1" applyBorder="1" applyAlignment="1">
      <alignment horizontal="center"/>
    </xf>
    <xf numFmtId="2" fontId="3" fillId="6" borderId="21" xfId="0" applyNumberFormat="1" applyFont="1" applyFill="1" applyBorder="1" applyAlignment="1">
      <alignment horizontal="center" vertical="center"/>
    </xf>
    <xf numFmtId="0" fontId="14" fillId="0" borderId="0" xfId="0" applyFont="1"/>
    <xf numFmtId="2" fontId="4" fillId="8" borderId="15" xfId="0" applyNumberFormat="1" applyFont="1" applyFill="1" applyBorder="1"/>
    <xf numFmtId="2" fontId="4" fillId="8" borderId="1" xfId="0" applyNumberFormat="1" applyFont="1" applyFill="1" applyBorder="1"/>
    <xf numFmtId="0" fontId="4" fillId="8" borderId="1" xfId="0" applyFont="1" applyFill="1" applyBorder="1"/>
    <xf numFmtId="2" fontId="4" fillId="8" borderId="20" xfId="0" applyNumberFormat="1" applyFont="1" applyFill="1" applyBorder="1"/>
    <xf numFmtId="0" fontId="4" fillId="8" borderId="20" xfId="0" applyFont="1" applyFill="1" applyBorder="1"/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1" fillId="3" borderId="41" xfId="0" applyFont="1" applyFill="1" applyBorder="1" applyAlignment="1">
      <alignment horizontal="right"/>
    </xf>
    <xf numFmtId="0" fontId="0" fillId="3" borderId="5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1" fillId="3" borderId="42" xfId="0" applyFont="1" applyFill="1" applyBorder="1" applyAlignment="1">
      <alignment horizontal="right"/>
    </xf>
    <xf numFmtId="0" fontId="0" fillId="3" borderId="2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3" borderId="43" xfId="0" applyFont="1" applyFill="1" applyBorder="1" applyAlignment="1">
      <alignment horizontal="right"/>
    </xf>
    <xf numFmtId="0" fontId="0" fillId="3" borderId="11" xfId="0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0" fontId="1" fillId="3" borderId="0" xfId="0" applyFont="1" applyFill="1"/>
    <xf numFmtId="0" fontId="1" fillId="3" borderId="0" xfId="0" applyFont="1" applyFill="1" applyAlignment="1">
      <alignment horizontal="center"/>
    </xf>
    <xf numFmtId="0" fontId="0" fillId="3" borderId="14" xfId="0" applyFill="1" applyBorder="1"/>
    <xf numFmtId="0" fontId="0" fillId="3" borderId="19" xfId="0" applyFill="1" applyBorder="1"/>
    <xf numFmtId="0" fontId="0" fillId="3" borderId="0" xfId="0" applyFill="1" applyBorder="1" applyAlignment="1"/>
    <xf numFmtId="0" fontId="1" fillId="3" borderId="56" xfId="0" applyFont="1" applyFill="1" applyBorder="1"/>
    <xf numFmtId="0" fontId="1" fillId="3" borderId="14" xfId="0" applyFont="1" applyFill="1" applyBorder="1"/>
    <xf numFmtId="0" fontId="1" fillId="3" borderId="19" xfId="0" applyFont="1" applyFill="1" applyBorder="1"/>
    <xf numFmtId="164" fontId="0" fillId="3" borderId="0" xfId="0" applyNumberFormat="1" applyFill="1"/>
    <xf numFmtId="2" fontId="11" fillId="3" borderId="57" xfId="0" applyNumberFormat="1" applyFont="1" applyFill="1" applyBorder="1" applyAlignment="1">
      <alignment horizontal="center" vertical="center"/>
    </xf>
    <xf numFmtId="2" fontId="11" fillId="3" borderId="50" xfId="0" applyNumberFormat="1" applyFont="1" applyFill="1" applyBorder="1" applyAlignment="1">
      <alignment horizontal="center" vertical="center" wrapText="1"/>
    </xf>
    <xf numFmtId="167" fontId="11" fillId="3" borderId="52" xfId="0" applyNumberFormat="1" applyFont="1" applyFill="1" applyBorder="1" applyAlignment="1">
      <alignment horizontal="center" shrinkToFit="1"/>
    </xf>
    <xf numFmtId="0" fontId="11" fillId="3" borderId="0" xfId="0" applyFont="1" applyFill="1" applyBorder="1" applyAlignment="1">
      <alignment horizontal="center"/>
    </xf>
    <xf numFmtId="0" fontId="0" fillId="3" borderId="55" xfId="0" applyFill="1" applyBorder="1"/>
    <xf numFmtId="168" fontId="12" fillId="3" borderId="0" xfId="0" applyNumberFormat="1" applyFont="1" applyFill="1" applyBorder="1" applyAlignment="1">
      <alignment horizontal="center"/>
    </xf>
    <xf numFmtId="0" fontId="14" fillId="3" borderId="0" xfId="0" applyFont="1" applyFill="1"/>
    <xf numFmtId="0" fontId="1" fillId="3" borderId="30" xfId="0" applyFont="1" applyFill="1" applyBorder="1"/>
    <xf numFmtId="0" fontId="0" fillId="3" borderId="31" xfId="0" applyFill="1" applyBorder="1"/>
    <xf numFmtId="0" fontId="1" fillId="3" borderId="25" xfId="0" applyFont="1" applyFill="1" applyBorder="1"/>
    <xf numFmtId="0" fontId="1" fillId="3" borderId="11" xfId="0" applyFont="1" applyFill="1" applyBorder="1"/>
    <xf numFmtId="0" fontId="0" fillId="3" borderId="29" xfId="0" applyFill="1" applyBorder="1"/>
    <xf numFmtId="0" fontId="3" fillId="3" borderId="38" xfId="0" applyFont="1" applyFill="1" applyBorder="1" applyAlignment="1">
      <alignment horizontal="left"/>
    </xf>
    <xf numFmtId="0" fontId="1" fillId="3" borderId="32" xfId="0" applyFont="1" applyFill="1" applyBorder="1" applyAlignment="1">
      <alignment horizontal="left"/>
    </xf>
    <xf numFmtId="0" fontId="0" fillId="3" borderId="17" xfId="0" applyFill="1" applyBorder="1" applyAlignment="1">
      <alignment horizontal="left"/>
    </xf>
    <xf numFmtId="0" fontId="0" fillId="3" borderId="40" xfId="0" applyFill="1" applyBorder="1" applyAlignment="1">
      <alignment horizontal="left"/>
    </xf>
    <xf numFmtId="0" fontId="0" fillId="3" borderId="39" xfId="0" applyFill="1" applyBorder="1" applyAlignment="1">
      <alignment horizontal="left"/>
    </xf>
    <xf numFmtId="0" fontId="0" fillId="3" borderId="38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3" borderId="19" xfId="0" applyFill="1" applyBorder="1" applyAlignment="1">
      <alignment horizontal="left"/>
    </xf>
    <xf numFmtId="0" fontId="0" fillId="3" borderId="20" xfId="0" applyFill="1" applyBorder="1" applyAlignment="1">
      <alignment horizontal="left"/>
    </xf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3" borderId="22" xfId="0" applyFill="1" applyBorder="1"/>
    <xf numFmtId="164" fontId="0" fillId="3" borderId="25" xfId="0" applyNumberFormat="1" applyFill="1" applyBorder="1" applyAlignment="1">
      <alignment horizontal="center"/>
    </xf>
    <xf numFmtId="0" fontId="0" fillId="3" borderId="28" xfId="0" applyFill="1" applyBorder="1"/>
    <xf numFmtId="0" fontId="0" fillId="3" borderId="26" xfId="0" applyFill="1" applyBorder="1"/>
    <xf numFmtId="164" fontId="0" fillId="3" borderId="27" xfId="0" applyNumberFormat="1" applyFill="1" applyBorder="1" applyAlignment="1">
      <alignment horizontal="center"/>
    </xf>
    <xf numFmtId="0" fontId="2" fillId="3" borderId="35" xfId="0" applyFont="1" applyFill="1" applyBorder="1" applyAlignment="1">
      <alignment horizontal="right"/>
    </xf>
    <xf numFmtId="0" fontId="6" fillId="3" borderId="35" xfId="0" applyFont="1" applyFill="1" applyBorder="1" applyAlignment="1">
      <alignment horizontal="right"/>
    </xf>
    <xf numFmtId="0" fontId="0" fillId="3" borderId="44" xfId="0" applyFill="1" applyBorder="1"/>
    <xf numFmtId="0" fontId="0" fillId="3" borderId="15" xfId="0" applyFill="1" applyBorder="1"/>
    <xf numFmtId="0" fontId="0" fillId="3" borderId="39" xfId="0" applyFill="1" applyBorder="1"/>
    <xf numFmtId="0" fontId="0" fillId="3" borderId="1" xfId="0" applyFill="1" applyBorder="1"/>
    <xf numFmtId="0" fontId="0" fillId="3" borderId="45" xfId="0" applyFill="1" applyBorder="1"/>
    <xf numFmtId="0" fontId="0" fillId="3" borderId="20" xfId="0" applyFill="1" applyBorder="1"/>
    <xf numFmtId="0" fontId="3" fillId="3" borderId="48" xfId="0" applyFont="1" applyFill="1" applyBorder="1" applyAlignment="1">
      <alignment horizontal="left"/>
    </xf>
    <xf numFmtId="0" fontId="3" fillId="3" borderId="49" xfId="0" applyFont="1" applyFill="1" applyBorder="1" applyAlignment="1">
      <alignment horizontal="left"/>
    </xf>
    <xf numFmtId="0" fontId="3" fillId="3" borderId="45" xfId="0" applyFont="1" applyFill="1" applyBorder="1" applyAlignment="1">
      <alignment horizontal="left"/>
    </xf>
    <xf numFmtId="0" fontId="1" fillId="3" borderId="15" xfId="0" applyFont="1" applyFill="1" applyBorder="1" applyAlignment="1">
      <alignment horizontal="center"/>
    </xf>
    <xf numFmtId="0" fontId="1" fillId="3" borderId="16" xfId="0" applyFont="1" applyFill="1" applyBorder="1" applyAlignment="1">
      <alignment horizontal="center"/>
    </xf>
    <xf numFmtId="164" fontId="0" fillId="6" borderId="16" xfId="0" applyNumberFormat="1" applyFill="1" applyBorder="1" applyAlignment="1">
      <alignment horizontal="center"/>
    </xf>
    <xf numFmtId="164" fontId="0" fillId="6" borderId="21" xfId="0" applyNumberForma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2" fontId="1" fillId="4" borderId="1" xfId="0" applyNumberFormat="1" applyFont="1" applyFill="1" applyBorder="1" applyAlignment="1">
      <alignment horizontal="center"/>
    </xf>
    <xf numFmtId="2" fontId="1" fillId="5" borderId="1" xfId="0" applyNumberFormat="1" applyFont="1" applyFill="1" applyBorder="1" applyAlignment="1">
      <alignment horizontal="center"/>
    </xf>
    <xf numFmtId="2" fontId="1" fillId="5" borderId="20" xfId="0" applyNumberFormat="1" applyFont="1" applyFill="1" applyBorder="1" applyAlignment="1">
      <alignment horizontal="center"/>
    </xf>
    <xf numFmtId="0" fontId="1" fillId="0" borderId="0" xfId="0" applyFont="1"/>
    <xf numFmtId="2" fontId="3" fillId="6" borderId="19" xfId="0" applyNumberFormat="1" applyFont="1" applyFill="1" applyBorder="1" applyAlignment="1">
      <alignment horizontal="center"/>
    </xf>
    <xf numFmtId="166" fontId="0" fillId="2" borderId="1" xfId="0" applyNumberFormat="1" applyFill="1" applyBorder="1" applyAlignment="1">
      <alignment horizontal="center"/>
    </xf>
    <xf numFmtId="2" fontId="3" fillId="2" borderId="18" xfId="0" applyNumberFormat="1" applyFont="1" applyFill="1" applyBorder="1" applyAlignment="1">
      <alignment horizontal="center"/>
    </xf>
    <xf numFmtId="2" fontId="0" fillId="2" borderId="18" xfId="0" applyNumberFormat="1" applyFill="1" applyBorder="1" applyAlignment="1">
      <alignment horizontal="center"/>
    </xf>
    <xf numFmtId="2" fontId="3" fillId="2" borderId="21" xfId="0" applyNumberFormat="1" applyFon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66" fontId="3" fillId="3" borderId="1" xfId="0" applyNumberFormat="1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>
      <alignment horizontal="center" vertical="center"/>
    </xf>
    <xf numFmtId="166" fontId="3" fillId="2" borderId="20" xfId="0" applyNumberFormat="1" applyFont="1" applyFill="1" applyBorder="1" applyAlignment="1">
      <alignment horizontal="center" vertical="center"/>
    </xf>
    <xf numFmtId="2" fontId="3" fillId="2" borderId="18" xfId="0" applyNumberFormat="1" applyFont="1" applyFill="1" applyBorder="1" applyAlignment="1">
      <alignment horizontal="center" vertical="center"/>
    </xf>
    <xf numFmtId="2" fontId="3" fillId="2" borderId="21" xfId="0" applyNumberFormat="1" applyFont="1" applyFill="1" applyBorder="1" applyAlignment="1">
      <alignment horizontal="center" vertical="center"/>
    </xf>
    <xf numFmtId="0" fontId="3" fillId="10" borderId="17" xfId="0" applyFont="1" applyFill="1" applyBorder="1" applyAlignment="1">
      <alignment horizontal="left"/>
    </xf>
    <xf numFmtId="0" fontId="3" fillId="10" borderId="1" xfId="0" applyFont="1" applyFill="1" applyBorder="1" applyAlignment="1">
      <alignment horizontal="center"/>
    </xf>
    <xf numFmtId="0" fontId="3" fillId="10" borderId="1" xfId="0" applyFont="1" applyFill="1" applyBorder="1" applyAlignment="1">
      <alignment horizontal="center" shrinkToFit="1"/>
    </xf>
    <xf numFmtId="0" fontId="0" fillId="10" borderId="17" xfId="0" applyFill="1" applyBorder="1" applyAlignment="1">
      <alignment horizontal="left"/>
    </xf>
    <xf numFmtId="0" fontId="0" fillId="10" borderId="1" xfId="0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22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5" fillId="3" borderId="10" xfId="0" applyFont="1" applyFill="1" applyBorder="1" applyAlignment="1">
      <alignment horizontal="center"/>
    </xf>
    <xf numFmtId="0" fontId="5" fillId="3" borderId="11" xfId="0" applyFont="1" applyFill="1" applyBorder="1" applyAlignment="1">
      <alignment horizontal="center"/>
    </xf>
    <xf numFmtId="0" fontId="5" fillId="3" borderId="12" xfId="0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/>
    </xf>
    <xf numFmtId="0" fontId="1" fillId="11" borderId="15" xfId="0" applyFont="1" applyFill="1" applyBorder="1" applyAlignment="1">
      <alignment horizontal="center"/>
    </xf>
    <xf numFmtId="0" fontId="8" fillId="11" borderId="15" xfId="0" applyFont="1" applyFill="1" applyBorder="1" applyAlignment="1">
      <alignment horizontal="center"/>
    </xf>
    <xf numFmtId="0" fontId="4" fillId="3" borderId="16" xfId="0" applyFont="1" applyFill="1" applyBorder="1"/>
    <xf numFmtId="0" fontId="1" fillId="11" borderId="1" xfId="0" applyFont="1" applyFill="1" applyBorder="1"/>
    <xf numFmtId="0" fontId="4" fillId="3" borderId="18" xfId="0" applyFont="1" applyFill="1" applyBorder="1"/>
    <xf numFmtId="0" fontId="4" fillId="3" borderId="21" xfId="0" applyFont="1" applyFill="1" applyBorder="1"/>
    <xf numFmtId="0" fontId="4" fillId="3" borderId="14" xfId="0" applyFont="1" applyFill="1" applyBorder="1"/>
    <xf numFmtId="0" fontId="4" fillId="3" borderId="15" xfId="0" applyFont="1" applyFill="1" applyBorder="1"/>
    <xf numFmtId="0" fontId="4" fillId="3" borderId="17" xfId="0" applyFont="1" applyFill="1" applyBorder="1"/>
    <xf numFmtId="0" fontId="4" fillId="3" borderId="1" xfId="0" applyFont="1" applyFill="1" applyBorder="1"/>
    <xf numFmtId="0" fontId="4" fillId="3" borderId="36" xfId="0" applyFont="1" applyFill="1" applyBorder="1"/>
    <xf numFmtId="0" fontId="4" fillId="3" borderId="19" xfId="0" applyFont="1" applyFill="1" applyBorder="1"/>
    <xf numFmtId="0" fontId="4" fillId="3" borderId="20" xfId="0" applyFont="1" applyFill="1" applyBorder="1"/>
    <xf numFmtId="0" fontId="0" fillId="3" borderId="22" xfId="0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7" xfId="0" applyFont="1" applyFill="1" applyBorder="1" applyAlignment="1">
      <alignment horizontal="left"/>
    </xf>
    <xf numFmtId="0" fontId="3" fillId="3" borderId="0" xfId="0" applyFont="1" applyFill="1"/>
    <xf numFmtId="0" fontId="0" fillId="3" borderId="20" xfId="0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2" fontId="0" fillId="3" borderId="18" xfId="0" applyNumberFormat="1" applyFill="1" applyBorder="1" applyAlignment="1">
      <alignment horizontal="center"/>
    </xf>
    <xf numFmtId="0" fontId="0" fillId="3" borderId="32" xfId="0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shrinkToFit="1"/>
    </xf>
    <xf numFmtId="0" fontId="3" fillId="3" borderId="19" xfId="0" applyFont="1" applyFill="1" applyBorder="1" applyAlignment="1">
      <alignment horizontal="left"/>
    </xf>
    <xf numFmtId="0" fontId="3" fillId="3" borderId="20" xfId="0" applyFon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66" fontId="3" fillId="9" borderId="1" xfId="0" applyNumberFormat="1" applyFont="1" applyFill="1" applyBorder="1" applyAlignment="1">
      <alignment horizontal="center" vertical="center"/>
    </xf>
    <xf numFmtId="166" fontId="15" fillId="9" borderId="1" xfId="0" applyNumberFormat="1" applyFont="1" applyFill="1" applyBorder="1" applyAlignment="1">
      <alignment horizontal="center"/>
    </xf>
    <xf numFmtId="166" fontId="16" fillId="9" borderId="1" xfId="0" applyNumberFormat="1" applyFont="1" applyFill="1" applyBorder="1" applyAlignment="1">
      <alignment horizontal="center" vertical="center"/>
    </xf>
    <xf numFmtId="2" fontId="16" fillId="9" borderId="18" xfId="0" applyNumberFormat="1" applyFont="1" applyFill="1" applyBorder="1" applyAlignment="1">
      <alignment horizontal="center" vertical="center"/>
    </xf>
    <xf numFmtId="2" fontId="15" fillId="9" borderId="18" xfId="0" applyNumberFormat="1" applyFont="1" applyFill="1" applyBorder="1" applyAlignment="1">
      <alignment horizontal="center"/>
    </xf>
    <xf numFmtId="166" fontId="15" fillId="9" borderId="20" xfId="0" applyNumberFormat="1" applyFont="1" applyFill="1" applyBorder="1" applyAlignment="1">
      <alignment horizontal="center"/>
    </xf>
    <xf numFmtId="166" fontId="15" fillId="9" borderId="1" xfId="0" applyNumberFormat="1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/>
    </xf>
    <xf numFmtId="2" fontId="15" fillId="9" borderId="18" xfId="0" applyNumberFormat="1" applyFont="1" applyFill="1" applyBorder="1" applyAlignment="1">
      <alignment horizontal="center" vertical="center"/>
    </xf>
    <xf numFmtId="166" fontId="15" fillId="9" borderId="20" xfId="0" applyNumberFormat="1" applyFont="1" applyFill="1" applyBorder="1" applyAlignment="1">
      <alignment horizontal="center" vertical="center"/>
    </xf>
    <xf numFmtId="2" fontId="17" fillId="8" borderId="1" xfId="0" applyNumberFormat="1" applyFont="1" applyFill="1" applyBorder="1"/>
    <xf numFmtId="0" fontId="3" fillId="8" borderId="1" xfId="0" applyFont="1" applyFill="1" applyBorder="1" applyAlignment="1">
      <alignment horizontal="center"/>
    </xf>
    <xf numFmtId="0" fontId="3" fillId="8" borderId="20" xfId="0" applyFont="1" applyFill="1" applyBorder="1" applyAlignment="1">
      <alignment horizontal="center"/>
    </xf>
    <xf numFmtId="0" fontId="3" fillId="8" borderId="32" xfId="0" applyFont="1" applyFill="1" applyBorder="1" applyAlignment="1">
      <alignment horizontal="center"/>
    </xf>
    <xf numFmtId="166" fontId="15" fillId="2" borderId="1" xfId="0" applyNumberFormat="1" applyFont="1" applyFill="1" applyBorder="1" applyAlignment="1">
      <alignment horizontal="center"/>
    </xf>
    <xf numFmtId="0" fontId="3" fillId="0" borderId="0" xfId="0" applyFont="1"/>
    <xf numFmtId="166" fontId="15" fillId="2" borderId="1" xfId="0" applyNumberFormat="1" applyFont="1" applyFill="1" applyBorder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0" fontId="1" fillId="3" borderId="46" xfId="0" applyFont="1" applyFill="1" applyBorder="1" applyAlignment="1">
      <alignment textRotation="255"/>
    </xf>
    <xf numFmtId="2" fontId="18" fillId="9" borderId="1" xfId="0" applyNumberFormat="1" applyFont="1" applyFill="1" applyBorder="1" applyAlignment="1">
      <alignment horizontal="center"/>
    </xf>
    <xf numFmtId="2" fontId="18" fillId="9" borderId="20" xfId="0" applyNumberFormat="1" applyFont="1" applyFill="1" applyBorder="1" applyAlignment="1">
      <alignment horizontal="center"/>
    </xf>
    <xf numFmtId="2" fontId="18" fillId="2" borderId="1" xfId="0" applyNumberFormat="1" applyFont="1" applyFill="1" applyBorder="1" applyAlignment="1">
      <alignment horizontal="center"/>
    </xf>
    <xf numFmtId="2" fontId="15" fillId="2" borderId="18" xfId="0" applyNumberFormat="1" applyFont="1" applyFill="1" applyBorder="1" applyAlignment="1">
      <alignment horizontal="center"/>
    </xf>
    <xf numFmtId="0" fontId="0" fillId="3" borderId="59" xfId="0" applyFill="1" applyBorder="1" applyAlignment="1">
      <alignment horizontal="left"/>
    </xf>
    <xf numFmtId="0" fontId="0" fillId="3" borderId="60" xfId="0" applyFill="1" applyBorder="1" applyAlignment="1">
      <alignment horizontal="left"/>
    </xf>
    <xf numFmtId="0" fontId="0" fillId="12" borderId="60" xfId="0" applyFill="1" applyBorder="1" applyAlignment="1">
      <alignment horizontal="left"/>
    </xf>
    <xf numFmtId="0" fontId="0" fillId="2" borderId="60" xfId="0" applyFill="1" applyBorder="1" applyAlignment="1">
      <alignment horizontal="left"/>
    </xf>
    <xf numFmtId="0" fontId="0" fillId="12" borderId="61" xfId="0" applyFill="1" applyBorder="1" applyAlignment="1">
      <alignment horizontal="left"/>
    </xf>
    <xf numFmtId="2" fontId="0" fillId="0" borderId="0" xfId="0" applyNumberFormat="1"/>
    <xf numFmtId="0" fontId="14" fillId="3" borderId="0" xfId="0" applyFont="1" applyFill="1" applyAlignment="1">
      <alignment horizontal="center"/>
    </xf>
    <xf numFmtId="0" fontId="19" fillId="3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3" fillId="0" borderId="64" xfId="0" applyFont="1" applyBorder="1"/>
    <xf numFmtId="0" fontId="0" fillId="0" borderId="65" xfId="0" applyBorder="1" applyAlignment="1">
      <alignment horizontal="center"/>
    </xf>
    <xf numFmtId="0" fontId="3" fillId="0" borderId="66" xfId="0" applyFont="1" applyBorder="1"/>
    <xf numFmtId="0" fontId="0" fillId="0" borderId="67" xfId="0" applyBorder="1" applyAlignment="1">
      <alignment horizontal="center"/>
    </xf>
    <xf numFmtId="2" fontId="18" fillId="9" borderId="65" xfId="0" applyNumberFormat="1" applyFont="1" applyFill="1" applyBorder="1" applyAlignment="1">
      <alignment horizontal="center"/>
    </xf>
    <xf numFmtId="2" fontId="18" fillId="13" borderId="65" xfId="0" applyNumberFormat="1" applyFont="1" applyFill="1" applyBorder="1" applyAlignment="1">
      <alignment horizontal="center"/>
    </xf>
    <xf numFmtId="2" fontId="20" fillId="13" borderId="65" xfId="0" applyNumberFormat="1" applyFont="1" applyFill="1" applyBorder="1" applyAlignment="1">
      <alignment horizontal="center"/>
    </xf>
    <xf numFmtId="0" fontId="3" fillId="0" borderId="66" xfId="0" applyFont="1" applyFill="1" applyBorder="1"/>
    <xf numFmtId="2" fontId="4" fillId="14" borderId="67" xfId="0" applyNumberFormat="1" applyFont="1" applyFill="1" applyBorder="1" applyAlignment="1">
      <alignment horizontal="center"/>
    </xf>
    <xf numFmtId="0" fontId="21" fillId="0" borderId="0" xfId="0" applyFont="1"/>
    <xf numFmtId="0" fontId="0" fillId="0" borderId="0" xfId="0" applyBorder="1"/>
    <xf numFmtId="0" fontId="0" fillId="0" borderId="0" xfId="0" applyFill="1" applyBorder="1"/>
    <xf numFmtId="0" fontId="1" fillId="3" borderId="4" xfId="0" applyFont="1" applyFill="1" applyBorder="1" applyAlignment="1">
      <alignment horizontal="center"/>
    </xf>
    <xf numFmtId="0" fontId="1" fillId="3" borderId="23" xfId="0" applyFont="1" applyFill="1" applyBorder="1" applyAlignment="1">
      <alignment horizontal="center"/>
    </xf>
    <xf numFmtId="166" fontId="0" fillId="9" borderId="18" xfId="0" applyNumberFormat="1" applyFill="1" applyBorder="1" applyAlignment="1">
      <alignment horizontal="center" vertical="center"/>
    </xf>
    <xf numFmtId="166" fontId="0" fillId="0" borderId="18" xfId="0" applyNumberFormat="1" applyBorder="1" applyAlignment="1">
      <alignment horizontal="center" vertical="center"/>
    </xf>
    <xf numFmtId="166" fontId="0" fillId="0" borderId="18" xfId="0" applyNumberFormat="1" applyFill="1" applyBorder="1" applyAlignment="1">
      <alignment horizontal="center" vertical="center"/>
    </xf>
    <xf numFmtId="166" fontId="1" fillId="0" borderId="18" xfId="0" applyNumberFormat="1" applyFont="1" applyFill="1" applyBorder="1" applyAlignment="1">
      <alignment horizontal="center" vertical="center"/>
    </xf>
    <xf numFmtId="0" fontId="3" fillId="12" borderId="14" xfId="0" applyFont="1" applyFill="1" applyBorder="1" applyAlignment="1">
      <alignment vertical="center"/>
    </xf>
    <xf numFmtId="0" fontId="3" fillId="12" borderId="17" xfId="0" applyFont="1" applyFill="1" applyBorder="1" applyAlignment="1">
      <alignment vertical="center"/>
    </xf>
    <xf numFmtId="0" fontId="3" fillId="17" borderId="15" xfId="0" applyFont="1" applyFill="1" applyBorder="1" applyAlignment="1">
      <alignment horizontal="center" vertical="center"/>
    </xf>
    <xf numFmtId="0" fontId="3" fillId="17" borderId="1" xfId="0" applyFont="1" applyFill="1" applyBorder="1" applyAlignment="1">
      <alignment horizontal="center" vertical="center"/>
    </xf>
    <xf numFmtId="166" fontId="15" fillId="3" borderId="18" xfId="0" applyNumberFormat="1" applyFont="1" applyFill="1" applyBorder="1" applyAlignment="1">
      <alignment horizontal="center" vertical="center"/>
    </xf>
    <xf numFmtId="166" fontId="15" fillId="9" borderId="16" xfId="0" applyNumberFormat="1" applyFont="1" applyFill="1" applyBorder="1" applyAlignment="1">
      <alignment horizontal="center" vertical="center"/>
    </xf>
    <xf numFmtId="166" fontId="15" fillId="9" borderId="18" xfId="0" applyNumberFormat="1" applyFont="1" applyFill="1" applyBorder="1" applyAlignment="1">
      <alignment horizontal="center" vertical="center"/>
    </xf>
    <xf numFmtId="0" fontId="1" fillId="3" borderId="41" xfId="0" applyFont="1" applyFill="1" applyBorder="1" applyAlignment="1">
      <alignment vertical="center" textRotation="90"/>
    </xf>
    <xf numFmtId="0" fontId="1" fillId="3" borderId="42" xfId="0" applyFont="1" applyFill="1" applyBorder="1" applyAlignment="1">
      <alignment vertical="center" textRotation="90"/>
    </xf>
    <xf numFmtId="0" fontId="0" fillId="3" borderId="42" xfId="0" applyFill="1" applyBorder="1" applyAlignment="1">
      <alignment textRotation="90"/>
    </xf>
    <xf numFmtId="0" fontId="0" fillId="3" borderId="43" xfId="0" applyFill="1" applyBorder="1" applyAlignment="1">
      <alignment textRotation="90"/>
    </xf>
    <xf numFmtId="3" fontId="10" fillId="6" borderId="6" xfId="0" applyNumberFormat="1" applyFont="1" applyFill="1" applyBorder="1" applyAlignment="1">
      <alignment horizontal="center" vertical="center"/>
    </xf>
    <xf numFmtId="3" fontId="10" fillId="6" borderId="34" xfId="0" applyNumberFormat="1" applyFont="1" applyFill="1" applyBorder="1" applyAlignment="1">
      <alignment horizontal="center" vertical="center"/>
    </xf>
    <xf numFmtId="3" fontId="10" fillId="6" borderId="12" xfId="0" applyNumberFormat="1" applyFont="1" applyFill="1" applyBorder="1" applyAlignment="1">
      <alignment horizontal="center" vertical="center"/>
    </xf>
    <xf numFmtId="3" fontId="10" fillId="6" borderId="28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0" xfId="0" applyBorder="1" applyAlignment="1">
      <alignment horizontal="center"/>
    </xf>
    <xf numFmtId="2" fontId="0" fillId="6" borderId="23" xfId="0" applyNumberFormat="1" applyFill="1" applyBorder="1" applyAlignment="1">
      <alignment horizontal="center" vertical="center"/>
    </xf>
    <xf numFmtId="2" fontId="0" fillId="6" borderId="25" xfId="0" applyNumberFormat="1" applyFill="1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9" fontId="0" fillId="0" borderId="15" xfId="1" applyFont="1" applyBorder="1" applyAlignment="1">
      <alignment horizontal="center" vertical="center"/>
    </xf>
    <xf numFmtId="9" fontId="0" fillId="0" borderId="20" xfId="1" applyFont="1" applyBorder="1" applyAlignment="1">
      <alignment horizontal="center" vertical="center"/>
    </xf>
    <xf numFmtId="164" fontId="0" fillId="6" borderId="15" xfId="0" applyNumberFormat="1" applyFill="1" applyBorder="1" applyAlignment="1">
      <alignment horizontal="center" vertical="center"/>
    </xf>
    <xf numFmtId="164" fontId="0" fillId="6" borderId="20" xfId="0" applyNumberFormat="1" applyFill="1" applyBorder="1" applyAlignment="1">
      <alignment horizontal="center" vertical="center"/>
    </xf>
    <xf numFmtId="0" fontId="0" fillId="0" borderId="32" xfId="0" applyBorder="1" applyAlignment="1">
      <alignment horizontal="center"/>
    </xf>
    <xf numFmtId="164" fontId="0" fillId="0" borderId="32" xfId="0" applyNumberFormat="1" applyFill="1" applyBorder="1" applyAlignment="1">
      <alignment horizontal="center" vertical="center"/>
    </xf>
    <xf numFmtId="164" fontId="0" fillId="0" borderId="20" xfId="0" applyNumberFormat="1" applyFill="1" applyBorder="1" applyAlignment="1">
      <alignment horizontal="center" vertical="center"/>
    </xf>
    <xf numFmtId="9" fontId="0" fillId="0" borderId="15" xfId="1" applyNumberFormat="1" applyFont="1" applyBorder="1" applyAlignment="1">
      <alignment horizontal="center" vertical="center"/>
    </xf>
    <xf numFmtId="9" fontId="0" fillId="0" borderId="20" xfId="1" applyNumberFormat="1" applyFont="1" applyBorder="1" applyAlignment="1">
      <alignment horizontal="center" vertical="center"/>
    </xf>
    <xf numFmtId="0" fontId="0" fillId="3" borderId="14" xfId="0" applyFill="1" applyBorder="1" applyAlignment="1">
      <alignment horizontal="left" vertical="center"/>
    </xf>
    <xf numFmtId="0" fontId="0" fillId="3" borderId="19" xfId="0" applyFill="1" applyBorder="1" applyAlignment="1">
      <alignment horizontal="left" vertical="center"/>
    </xf>
    <xf numFmtId="0" fontId="0" fillId="3" borderId="38" xfId="0" applyFill="1" applyBorder="1" applyAlignment="1">
      <alignment horizontal="left" vertical="center"/>
    </xf>
    <xf numFmtId="0" fontId="0" fillId="3" borderId="36" xfId="0" applyFill="1" applyBorder="1" applyAlignment="1">
      <alignment horizontal="left" vertical="center"/>
    </xf>
    <xf numFmtId="0" fontId="0" fillId="3" borderId="42" xfId="0" applyFill="1" applyBorder="1" applyAlignment="1">
      <alignment vertical="center" textRotation="90"/>
    </xf>
    <xf numFmtId="0" fontId="0" fillId="3" borderId="43" xfId="0" applyFill="1" applyBorder="1" applyAlignment="1">
      <alignment vertical="center" textRotation="90"/>
    </xf>
    <xf numFmtId="164" fontId="0" fillId="3" borderId="32" xfId="0" applyNumberFormat="1" applyFill="1" applyBorder="1" applyAlignment="1">
      <alignment horizontal="center" vertical="center"/>
    </xf>
    <xf numFmtId="164" fontId="0" fillId="3" borderId="20" xfId="0" applyNumberFormat="1" applyFill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wrapText="1" shrinkToFit="1"/>
    </xf>
    <xf numFmtId="0" fontId="3" fillId="3" borderId="19" xfId="0" applyFont="1" applyFill="1" applyBorder="1" applyAlignment="1">
      <alignment horizontal="center" vertical="center" wrapText="1" shrinkToFit="1"/>
    </xf>
    <xf numFmtId="0" fontId="3" fillId="3" borderId="14" xfId="0" applyFont="1" applyFill="1" applyBorder="1" applyAlignment="1">
      <alignment horizontal="center" vertical="center" wrapText="1"/>
    </xf>
    <xf numFmtId="0" fontId="0" fillId="3" borderId="19" xfId="0" applyFill="1" applyBorder="1" applyAlignment="1">
      <alignment horizontal="center" vertical="center" wrapText="1"/>
    </xf>
    <xf numFmtId="165" fontId="0" fillId="0" borderId="23" xfId="0" applyNumberFormat="1" applyBorder="1" applyAlignment="1">
      <alignment horizontal="center" vertical="center" wrapText="1"/>
    </xf>
    <xf numFmtId="165" fontId="0" fillId="0" borderId="25" xfId="0" applyNumberFormat="1" applyBorder="1" applyAlignment="1">
      <alignment horizontal="center" vertical="center" wrapText="1"/>
    </xf>
    <xf numFmtId="164" fontId="0" fillId="3" borderId="15" xfId="0" applyNumberFormat="1" applyFill="1" applyBorder="1" applyAlignment="1">
      <alignment horizontal="center" vertical="center"/>
    </xf>
    <xf numFmtId="0" fontId="0" fillId="0" borderId="33" xfId="0" applyBorder="1" applyAlignment="1">
      <alignment horizontal="center"/>
    </xf>
    <xf numFmtId="164" fontId="0" fillId="3" borderId="33" xfId="0" applyNumberFormat="1" applyFill="1" applyBorder="1" applyAlignment="1">
      <alignment horizontal="center" vertical="center"/>
    </xf>
    <xf numFmtId="0" fontId="0" fillId="3" borderId="46" xfId="0" applyFill="1" applyBorder="1" applyAlignment="1">
      <alignment horizontal="center"/>
    </xf>
    <xf numFmtId="0" fontId="0" fillId="3" borderId="0" xfId="0" applyFill="1" applyAlignment="1">
      <alignment horizontal="center"/>
    </xf>
    <xf numFmtId="14" fontId="1" fillId="16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3" borderId="24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64" fontId="0" fillId="0" borderId="33" xfId="0" applyNumberFormat="1" applyFill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0" fontId="0" fillId="3" borderId="0" xfId="0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164" fontId="0" fillId="3" borderId="23" xfId="0" applyNumberFormat="1" applyFill="1" applyBorder="1" applyAlignment="1">
      <alignment horizontal="center" vertical="center"/>
    </xf>
    <xf numFmtId="164" fontId="0" fillId="3" borderId="25" xfId="0" applyNumberFormat="1" applyFill="1" applyBorder="1" applyAlignment="1">
      <alignment horizontal="center" vertical="center"/>
    </xf>
    <xf numFmtId="164" fontId="0" fillId="6" borderId="32" xfId="0" applyNumberFormat="1" applyFill="1" applyBorder="1" applyAlignment="1">
      <alignment horizontal="center" vertical="center"/>
    </xf>
    <xf numFmtId="164" fontId="0" fillId="6" borderId="33" xfId="0" applyNumberFormat="1" applyFill="1" applyBorder="1" applyAlignment="1">
      <alignment horizontal="center" vertical="center"/>
    </xf>
    <xf numFmtId="0" fontId="0" fillId="3" borderId="23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3" fillId="3" borderId="44" xfId="0" applyFont="1" applyFill="1" applyBorder="1" applyAlignment="1">
      <alignment horizontal="left" vertical="center"/>
    </xf>
    <xf numFmtId="0" fontId="0" fillId="3" borderId="45" xfId="0" applyFill="1" applyBorder="1" applyAlignment="1">
      <alignment horizontal="left" vertical="center"/>
    </xf>
    <xf numFmtId="0" fontId="0" fillId="3" borderId="44" xfId="0" applyFill="1" applyBorder="1" applyAlignment="1">
      <alignment horizontal="left" vertical="center" wrapText="1"/>
    </xf>
    <xf numFmtId="0" fontId="0" fillId="3" borderId="45" xfId="0" applyFill="1" applyBorder="1" applyAlignment="1">
      <alignment horizontal="left" vertical="center" wrapText="1"/>
    </xf>
    <xf numFmtId="0" fontId="0" fillId="0" borderId="24" xfId="0" applyBorder="1" applyAlignment="1">
      <alignment horizontal="center"/>
    </xf>
    <xf numFmtId="164" fontId="0" fillId="0" borderId="15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3" xfId="0" applyNumberFormat="1" applyFill="1" applyBorder="1" applyAlignment="1">
      <alignment horizontal="center" vertical="center"/>
    </xf>
    <xf numFmtId="164" fontId="0" fillId="0" borderId="25" xfId="0" applyNumberFormat="1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3" borderId="44" xfId="0" applyFill="1" applyBorder="1" applyAlignment="1">
      <alignment horizontal="left" vertical="center"/>
    </xf>
    <xf numFmtId="0" fontId="0" fillId="3" borderId="39" xfId="0" applyFill="1" applyBorder="1" applyAlignment="1">
      <alignment horizontal="left" vertical="center"/>
    </xf>
    <xf numFmtId="3" fontId="0" fillId="6" borderId="15" xfId="0" applyNumberFormat="1" applyFill="1" applyBorder="1" applyAlignment="1">
      <alignment horizontal="center" vertical="center"/>
    </xf>
    <xf numFmtId="3" fontId="0" fillId="6" borderId="16" xfId="0" applyNumberFormat="1" applyFill="1" applyBorder="1" applyAlignment="1">
      <alignment horizontal="center" vertical="center"/>
    </xf>
    <xf numFmtId="3" fontId="0" fillId="6" borderId="20" xfId="0" applyNumberFormat="1" applyFill="1" applyBorder="1" applyAlignment="1">
      <alignment horizontal="center" vertical="center"/>
    </xf>
    <xf numFmtId="3" fontId="0" fillId="6" borderId="21" xfId="0" applyNumberFormat="1" applyFill="1" applyBorder="1" applyAlignment="1">
      <alignment horizontal="center" vertical="center"/>
    </xf>
    <xf numFmtId="3" fontId="0" fillId="6" borderId="6" xfId="0" applyNumberFormat="1" applyFill="1" applyBorder="1" applyAlignment="1">
      <alignment horizontal="center" vertical="center"/>
    </xf>
    <xf numFmtId="3" fontId="0" fillId="6" borderId="34" xfId="0" applyNumberFormat="1" applyFill="1" applyBorder="1" applyAlignment="1">
      <alignment horizontal="center" vertical="center"/>
    </xf>
    <xf numFmtId="3" fontId="0" fillId="6" borderId="12" xfId="0" applyNumberFormat="1" applyFill="1" applyBorder="1" applyAlignment="1">
      <alignment horizontal="center" vertical="center"/>
    </xf>
    <xf numFmtId="3" fontId="0" fillId="6" borderId="28" xfId="0" applyNumberFormat="1" applyFill="1" applyBorder="1" applyAlignment="1">
      <alignment horizontal="center" vertical="center"/>
    </xf>
    <xf numFmtId="0" fontId="9" fillId="0" borderId="6" xfId="0" applyFont="1" applyBorder="1" applyAlignment="1">
      <alignment horizontal="left" vertical="center"/>
    </xf>
    <xf numFmtId="0" fontId="0" fillId="0" borderId="34" xfId="0" applyBorder="1" applyAlignment="1">
      <alignment horizontal="left" vertical="center"/>
    </xf>
    <xf numFmtId="0" fontId="0" fillId="0" borderId="12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34" xfId="0" applyBorder="1" applyAlignment="1">
      <alignment horizontal="left"/>
    </xf>
    <xf numFmtId="0" fontId="1" fillId="3" borderId="58" xfId="0" applyFont="1" applyFill="1" applyBorder="1" applyAlignment="1">
      <alignment horizontal="left"/>
    </xf>
    <xf numFmtId="0" fontId="0" fillId="3" borderId="44" xfId="0" applyFill="1" applyBorder="1" applyAlignment="1">
      <alignment horizontal="left"/>
    </xf>
    <xf numFmtId="0" fontId="0" fillId="0" borderId="6" xfId="0" applyBorder="1" applyAlignment="1"/>
    <xf numFmtId="0" fontId="0" fillId="0" borderId="34" xfId="0" applyBorder="1" applyAlignment="1"/>
    <xf numFmtId="0" fontId="0" fillId="0" borderId="12" xfId="0" applyBorder="1" applyAlignment="1"/>
    <xf numFmtId="0" fontId="0" fillId="0" borderId="28" xfId="0" applyBorder="1" applyAlignment="1"/>
    <xf numFmtId="0" fontId="9" fillId="0" borderId="34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3" borderId="4" xfId="0" applyFill="1" applyBorder="1" applyAlignment="1">
      <alignment horizontal="left" vertical="center" wrapText="1"/>
    </xf>
    <xf numFmtId="0" fontId="0" fillId="3" borderId="10" xfId="0" applyFill="1" applyBorder="1" applyAlignment="1">
      <alignment horizontal="left" vertical="center" wrapText="1"/>
    </xf>
    <xf numFmtId="164" fontId="0" fillId="0" borderId="23" xfId="0" applyNumberFormat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3" borderId="41" xfId="0" applyFont="1" applyFill="1" applyBorder="1" applyAlignment="1">
      <alignment horizontal="center" vertical="center" wrapText="1"/>
    </xf>
    <xf numFmtId="0" fontId="0" fillId="3" borderId="42" xfId="0" applyFill="1" applyBorder="1" applyAlignment="1">
      <alignment horizontal="center" vertical="center" wrapText="1"/>
    </xf>
    <xf numFmtId="0" fontId="0" fillId="3" borderId="43" xfId="0" applyFill="1" applyBorder="1" applyAlignment="1">
      <alignment horizontal="center" vertical="center" wrapText="1"/>
    </xf>
    <xf numFmtId="0" fontId="1" fillId="0" borderId="62" xfId="0" applyFont="1" applyBorder="1" applyAlignment="1">
      <alignment horizontal="center" vertical="center"/>
    </xf>
    <xf numFmtId="0" fontId="1" fillId="0" borderId="63" xfId="0" applyFont="1" applyBorder="1" applyAlignment="1">
      <alignment horizontal="center" vertical="center"/>
    </xf>
    <xf numFmtId="0" fontId="4" fillId="3" borderId="0" xfId="0" applyFont="1" applyFill="1" applyBorder="1" applyAlignment="1">
      <alignment horizontal="center"/>
    </xf>
    <xf numFmtId="14" fontId="5" fillId="16" borderId="0" xfId="0" applyNumberFormat="1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1" fillId="16" borderId="2" xfId="0" applyFont="1" applyFill="1" applyBorder="1" applyAlignment="1">
      <alignment horizontal="center" vertical="center"/>
    </xf>
    <xf numFmtId="0" fontId="1" fillId="3" borderId="24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4" fontId="1" fillId="16" borderId="2" xfId="0" applyNumberFormat="1" applyFont="1" applyFill="1" applyBorder="1" applyAlignment="1">
      <alignment horizontal="center" vertical="center"/>
    </xf>
    <xf numFmtId="0" fontId="1" fillId="15" borderId="24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0" fillId="3" borderId="0" xfId="0" applyFill="1" applyAlignment="1"/>
    <xf numFmtId="0" fontId="0" fillId="0" borderId="0" xfId="0" applyAlignment="1"/>
    <xf numFmtId="2" fontId="18" fillId="13" borderId="1" xfId="0" applyNumberFormat="1" applyFont="1" applyFill="1" applyBorder="1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Light16"/>
  <colors>
    <mruColors>
      <color rgb="FFFFF2CC"/>
      <color rgb="FFD8E4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464343</xdr:colOff>
      <xdr:row>0</xdr:row>
      <xdr:rowOff>75876</xdr:rowOff>
    </xdr:from>
    <xdr:to>
      <xdr:col>11</xdr:col>
      <xdr:colOff>821531</xdr:colOff>
      <xdr:row>3</xdr:row>
      <xdr:rowOff>83345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49" y="75876"/>
          <a:ext cx="1714501" cy="5075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361950</xdr:colOff>
          <xdr:row>0</xdr:row>
          <xdr:rowOff>28575</xdr:rowOff>
        </xdr:from>
        <xdr:to>
          <xdr:col>13</xdr:col>
          <xdr:colOff>514350</xdr:colOff>
          <xdr:row>2</xdr:row>
          <xdr:rowOff>9525</xdr:rowOff>
        </xdr:to>
        <xdr:sp macro="" textlink="">
          <xdr:nvSpPr>
            <xdr:cNvPr id="1025" name="btnCaptura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352425</xdr:colOff>
          <xdr:row>2</xdr:row>
          <xdr:rowOff>19050</xdr:rowOff>
        </xdr:from>
        <xdr:to>
          <xdr:col>13</xdr:col>
          <xdr:colOff>514350</xdr:colOff>
          <xdr:row>4</xdr:row>
          <xdr:rowOff>0</xdr:rowOff>
        </xdr:to>
        <xdr:sp macro="" textlink="">
          <xdr:nvSpPr>
            <xdr:cNvPr id="1026" name="btnActualiza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152401</xdr:colOff>
      <xdr:row>3</xdr:row>
      <xdr:rowOff>11174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714501" cy="507532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0</xdr:row>
          <xdr:rowOff>114300</xdr:rowOff>
        </xdr:from>
        <xdr:to>
          <xdr:col>7</xdr:col>
          <xdr:colOff>571500</xdr:colOff>
          <xdr:row>2</xdr:row>
          <xdr:rowOff>104775</xdr:rowOff>
        </xdr:to>
        <xdr:sp macro="" textlink="">
          <xdr:nvSpPr>
            <xdr:cNvPr id="2049" name="btnCapturar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2</xdr:row>
          <xdr:rowOff>123825</xdr:rowOff>
        </xdr:from>
        <xdr:to>
          <xdr:col>7</xdr:col>
          <xdr:colOff>571500</xdr:colOff>
          <xdr:row>4</xdr:row>
          <xdr:rowOff>123825</xdr:rowOff>
        </xdr:to>
        <xdr:sp macro="" textlink="">
          <xdr:nvSpPr>
            <xdr:cNvPr id="2050" name="btnActualizar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12</xdr:col>
          <xdr:colOff>152400</xdr:colOff>
          <xdr:row>2</xdr:row>
          <xdr:rowOff>0</xdr:rowOff>
        </xdr:to>
        <xdr:sp macro="" textlink="">
          <xdr:nvSpPr>
            <xdr:cNvPr id="3073" name="btnCapturarClm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12</xdr:col>
          <xdr:colOff>161925</xdr:colOff>
          <xdr:row>4</xdr:row>
          <xdr:rowOff>9525</xdr:rowOff>
        </xdr:to>
        <xdr:sp macro="" textlink="">
          <xdr:nvSpPr>
            <xdr:cNvPr id="3074" name="btnActualizarClmN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2</xdr:col>
      <xdr:colOff>200026</xdr:colOff>
      <xdr:row>4</xdr:row>
      <xdr:rowOff>21757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161925"/>
          <a:ext cx="1714501" cy="50753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12</xdr:col>
          <xdr:colOff>152400</xdr:colOff>
          <xdr:row>2</xdr:row>
          <xdr:rowOff>0</xdr:rowOff>
        </xdr:to>
        <xdr:sp macro="" textlink="">
          <xdr:nvSpPr>
            <xdr:cNvPr id="4097" name="btnCapturarClmS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12</xdr:col>
          <xdr:colOff>161925</xdr:colOff>
          <xdr:row>4</xdr:row>
          <xdr:rowOff>9525</xdr:rowOff>
        </xdr:to>
        <xdr:sp macro="" textlink="">
          <xdr:nvSpPr>
            <xdr:cNvPr id="4098" name="btnActualizarClmS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2</xdr:col>
      <xdr:colOff>200026</xdr:colOff>
      <xdr:row>4</xdr:row>
      <xdr:rowOff>21757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161925"/>
          <a:ext cx="1714501" cy="5075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66675</xdr:rowOff>
    </xdr:from>
    <xdr:to>
      <xdr:col>2</xdr:col>
      <xdr:colOff>228601</xdr:colOff>
      <xdr:row>3</xdr:row>
      <xdr:rowOff>88432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66675"/>
          <a:ext cx="1714501" cy="5075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581025</xdr:colOff>
          <xdr:row>0</xdr:row>
          <xdr:rowOff>133350</xdr:rowOff>
        </xdr:from>
        <xdr:to>
          <xdr:col>8</xdr:col>
          <xdr:colOff>733425</xdr:colOff>
          <xdr:row>2</xdr:row>
          <xdr:rowOff>133350</xdr:rowOff>
        </xdr:to>
        <xdr:sp macro="" textlink="">
          <xdr:nvSpPr>
            <xdr:cNvPr id="5121" name="btnCapturarPl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581025</xdr:colOff>
          <xdr:row>2</xdr:row>
          <xdr:rowOff>142875</xdr:rowOff>
        </xdr:from>
        <xdr:to>
          <xdr:col>8</xdr:col>
          <xdr:colOff>742950</xdr:colOff>
          <xdr:row>4</xdr:row>
          <xdr:rowOff>142875</xdr:rowOff>
        </xdr:to>
        <xdr:sp macro="" textlink="">
          <xdr:nvSpPr>
            <xdr:cNvPr id="5122" name="btnActualizarPl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1.emf"/><Relationship Id="rId5" Type="http://schemas.openxmlformats.org/officeDocument/2006/relationships/control" Target="../activeX/activeX10.xml"/><Relationship Id="rId4" Type="http://schemas.openxmlformats.org/officeDocument/2006/relationships/image" Target="../media/image1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O64"/>
  <sheetViews>
    <sheetView tabSelected="1" zoomScale="80" zoomScaleNormal="80" workbookViewId="0"/>
  </sheetViews>
  <sheetFormatPr baseColWidth="10" defaultRowHeight="12.75" x14ac:dyDescent="0.2"/>
  <cols>
    <col min="1" max="1" width="6.42578125" style="89" customWidth="1"/>
    <col min="2" max="2" width="3.28515625" customWidth="1"/>
    <col min="3" max="3" width="14.5703125" customWidth="1"/>
    <col min="8" max="8" width="9.28515625" customWidth="1"/>
    <col min="9" max="9" width="10.140625" bestFit="1" customWidth="1"/>
    <col min="10" max="10" width="9" customWidth="1"/>
    <col min="12" max="12" width="13.42578125" customWidth="1"/>
    <col min="14" max="14" width="14.140625" customWidth="1"/>
    <col min="15" max="15" width="14.5703125" bestFit="1" customWidth="1"/>
  </cols>
  <sheetData>
    <row r="1" spans="1:15" ht="13.5" customHeight="1" thickBot="1" x14ac:dyDescent="0.25">
      <c r="A1" s="124"/>
      <c r="B1" s="95"/>
      <c r="C1" s="109" t="s">
        <v>184</v>
      </c>
      <c r="D1" s="98"/>
      <c r="E1" s="340" t="s">
        <v>190</v>
      </c>
      <c r="F1" s="328"/>
      <c r="G1" s="328"/>
      <c r="H1" s="328"/>
      <c r="I1" s="328"/>
      <c r="J1" s="328"/>
      <c r="K1" s="328"/>
      <c r="L1" s="97"/>
      <c r="M1" s="113"/>
      <c r="N1" s="95"/>
      <c r="O1" s="95"/>
    </row>
    <row r="2" spans="1:15" ht="13.5" customHeight="1" thickTop="1" x14ac:dyDescent="0.2">
      <c r="A2" s="124" t="s">
        <v>282</v>
      </c>
      <c r="B2" s="95"/>
      <c r="C2" s="111" t="s">
        <v>181</v>
      </c>
      <c r="D2" s="87">
        <v>1.5</v>
      </c>
      <c r="E2" s="327" t="s">
        <v>189</v>
      </c>
      <c r="F2" s="328"/>
      <c r="G2" s="328"/>
      <c r="H2" s="328"/>
      <c r="I2" s="328"/>
      <c r="J2" s="328"/>
      <c r="K2" s="328"/>
      <c r="L2" s="97"/>
      <c r="M2" s="95"/>
      <c r="N2" s="95"/>
      <c r="O2" s="95"/>
    </row>
    <row r="3" spans="1:15" ht="13.5" customHeight="1" thickBot="1" x14ac:dyDescent="0.25">
      <c r="A3" s="124" t="s">
        <v>283</v>
      </c>
      <c r="B3" s="95"/>
      <c r="C3" s="112" t="s">
        <v>182</v>
      </c>
      <c r="D3" s="66">
        <v>0.5</v>
      </c>
      <c r="E3" s="327" t="s">
        <v>0</v>
      </c>
      <c r="F3" s="328"/>
      <c r="G3" s="328"/>
      <c r="H3" s="328"/>
      <c r="I3" s="328"/>
      <c r="J3" s="328"/>
      <c r="K3" s="328"/>
      <c r="L3" s="97"/>
      <c r="M3" s="95"/>
      <c r="N3" s="95"/>
      <c r="O3" s="95"/>
    </row>
    <row r="4" spans="1:15" ht="13.5" customHeight="1" thickTop="1" x14ac:dyDescent="0.2">
      <c r="A4" s="124"/>
      <c r="B4" s="95"/>
      <c r="C4" s="96"/>
      <c r="D4" s="97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</row>
    <row r="5" spans="1:15" ht="13.5" customHeight="1" x14ac:dyDescent="0.2">
      <c r="A5" s="124"/>
      <c r="B5" s="329" t="s">
        <v>473</v>
      </c>
      <c r="C5" s="330"/>
      <c r="D5" s="330"/>
      <c r="E5" s="330"/>
      <c r="F5" s="330"/>
      <c r="G5" s="330"/>
      <c r="H5" s="330"/>
      <c r="I5" s="330"/>
      <c r="J5" s="330"/>
      <c r="K5" s="330"/>
      <c r="L5" s="330"/>
      <c r="M5" s="95"/>
      <c r="N5" s="95"/>
      <c r="O5" s="95"/>
    </row>
    <row r="6" spans="1:15" ht="13.5" customHeight="1" thickBot="1" x14ac:dyDescent="0.25">
      <c r="A6" s="124"/>
      <c r="B6" s="95"/>
      <c r="C6" s="96"/>
      <c r="D6" s="95"/>
      <c r="E6" s="95"/>
      <c r="F6" s="95"/>
      <c r="G6" s="95"/>
      <c r="H6" s="95"/>
      <c r="I6" s="95"/>
      <c r="J6" s="95"/>
      <c r="K6" s="95"/>
      <c r="L6" s="98"/>
      <c r="M6" s="95"/>
      <c r="N6" s="95"/>
      <c r="O6" s="95"/>
    </row>
    <row r="7" spans="1:15" ht="13.5" customHeight="1" thickTop="1" x14ac:dyDescent="0.2">
      <c r="A7" s="124"/>
      <c r="B7" s="99" t="s">
        <v>165</v>
      </c>
      <c r="C7" s="100" t="s">
        <v>3</v>
      </c>
      <c r="D7" s="101" t="s">
        <v>152</v>
      </c>
      <c r="E7" s="101" t="s">
        <v>153</v>
      </c>
      <c r="F7" s="347" t="s">
        <v>160</v>
      </c>
      <c r="G7" s="347"/>
      <c r="H7" s="101" t="s">
        <v>154</v>
      </c>
      <c r="I7" s="101" t="s">
        <v>156</v>
      </c>
      <c r="J7" s="101" t="s">
        <v>161</v>
      </c>
      <c r="K7" s="347" t="s">
        <v>162</v>
      </c>
      <c r="L7" s="348"/>
      <c r="M7" s="95"/>
      <c r="N7" s="95"/>
      <c r="O7" s="95"/>
    </row>
    <row r="8" spans="1:15" ht="13.5" customHeight="1" x14ac:dyDescent="0.2">
      <c r="A8" s="124"/>
      <c r="B8" s="102" t="s">
        <v>166</v>
      </c>
      <c r="C8" s="103"/>
      <c r="D8" s="104"/>
      <c r="E8" s="105"/>
      <c r="F8" s="105"/>
      <c r="G8" s="103"/>
      <c r="H8" s="103"/>
      <c r="I8" s="104" t="s">
        <v>157</v>
      </c>
      <c r="J8" s="104" t="s">
        <v>159</v>
      </c>
      <c r="K8" s="331" t="s">
        <v>163</v>
      </c>
      <c r="L8" s="332"/>
      <c r="M8" s="95"/>
      <c r="N8" s="95"/>
      <c r="O8" s="95"/>
    </row>
    <row r="9" spans="1:15" ht="13.5" customHeight="1" thickBot="1" x14ac:dyDescent="0.25">
      <c r="A9" s="124"/>
      <c r="B9" s="106" t="s">
        <v>167</v>
      </c>
      <c r="C9" s="107" t="s">
        <v>150</v>
      </c>
      <c r="D9" s="108" t="s">
        <v>151</v>
      </c>
      <c r="E9" s="108" t="s">
        <v>151</v>
      </c>
      <c r="F9" s="341" t="s">
        <v>183</v>
      </c>
      <c r="G9" s="341"/>
      <c r="H9" s="108" t="s">
        <v>155</v>
      </c>
      <c r="I9" s="108" t="s">
        <v>158</v>
      </c>
      <c r="J9" s="108" t="s">
        <v>158</v>
      </c>
      <c r="K9" s="341" t="s">
        <v>164</v>
      </c>
      <c r="L9" s="342"/>
      <c r="M9" s="95"/>
      <c r="N9" s="95"/>
      <c r="O9" s="95"/>
    </row>
    <row r="10" spans="1:15" ht="13.5" customHeight="1" thickTop="1" x14ac:dyDescent="0.2">
      <c r="A10" s="124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</row>
    <row r="11" spans="1:15" ht="13.5" customHeight="1" thickBot="1" x14ac:dyDescent="0.25">
      <c r="A11" s="124"/>
      <c r="B11" s="95"/>
      <c r="C11" s="109" t="s">
        <v>58</v>
      </c>
      <c r="D11" s="109"/>
      <c r="E11" s="109"/>
      <c r="F11" s="110" t="s">
        <v>117</v>
      </c>
      <c r="G11" s="110" t="s">
        <v>119</v>
      </c>
      <c r="H11" s="95"/>
      <c r="I11" s="95"/>
      <c r="J11" s="95"/>
      <c r="K11" s="95"/>
      <c r="L11" s="95"/>
      <c r="M11" s="95"/>
      <c r="N11" s="95"/>
      <c r="O11" s="95"/>
    </row>
    <row r="12" spans="1:15" ht="15" customHeight="1" thickTop="1" x14ac:dyDescent="0.2">
      <c r="A12" s="124" t="s">
        <v>268</v>
      </c>
      <c r="B12" s="281" t="s">
        <v>217</v>
      </c>
      <c r="C12" s="308" t="s">
        <v>30</v>
      </c>
      <c r="D12" s="69">
        <v>32.5</v>
      </c>
      <c r="E12" s="343">
        <v>25</v>
      </c>
      <c r="F12" s="14">
        <v>5.5919999999999996</v>
      </c>
      <c r="G12" s="62">
        <v>5.6210000000000004</v>
      </c>
      <c r="H12" s="306">
        <f>G12/D12</f>
        <v>0.17295384615384618</v>
      </c>
      <c r="I12" s="293"/>
      <c r="J12" s="301">
        <v>0</v>
      </c>
      <c r="K12" s="289"/>
      <c r="L12" s="290"/>
      <c r="M12" s="95"/>
      <c r="N12" s="95"/>
      <c r="O12" s="95"/>
    </row>
    <row r="13" spans="1:15" ht="15" customHeight="1" thickBot="1" x14ac:dyDescent="0.25">
      <c r="A13" s="124"/>
      <c r="B13" s="312"/>
      <c r="C13" s="309"/>
      <c r="D13" s="70">
        <v>2167</v>
      </c>
      <c r="E13" s="344"/>
      <c r="F13" s="15">
        <v>2156.04</v>
      </c>
      <c r="G13" s="67">
        <v>2156.06</v>
      </c>
      <c r="H13" s="307"/>
      <c r="I13" s="294"/>
      <c r="J13" s="302"/>
      <c r="K13" s="291"/>
      <c r="L13" s="292"/>
      <c r="M13" s="95"/>
      <c r="N13" s="95"/>
      <c r="O13" s="95"/>
    </row>
    <row r="14" spans="1:15" ht="15" customHeight="1" thickTop="1" x14ac:dyDescent="0.2">
      <c r="A14" s="124" t="s">
        <v>269</v>
      </c>
      <c r="B14" s="312"/>
      <c r="C14" s="310" t="s">
        <v>27</v>
      </c>
      <c r="D14" s="71">
        <v>50</v>
      </c>
      <c r="E14" s="314">
        <v>43</v>
      </c>
      <c r="F14" s="16">
        <v>8.0609999999999999</v>
      </c>
      <c r="G14" s="12">
        <v>8.0939999999999994</v>
      </c>
      <c r="H14" s="306">
        <f>G14/D14</f>
        <v>0.16188</v>
      </c>
      <c r="I14" s="303"/>
      <c r="J14" s="345">
        <v>0</v>
      </c>
      <c r="K14" s="289"/>
      <c r="L14" s="290"/>
      <c r="M14" s="95"/>
      <c r="N14" s="95"/>
      <c r="O14" s="95"/>
    </row>
    <row r="15" spans="1:15" ht="15" customHeight="1" thickBot="1" x14ac:dyDescent="0.25">
      <c r="A15" s="124"/>
      <c r="B15" s="312"/>
      <c r="C15" s="311"/>
      <c r="D15" s="72">
        <v>2184</v>
      </c>
      <c r="E15" s="326"/>
      <c r="F15" s="17">
        <v>2176.04</v>
      </c>
      <c r="G15" s="65">
        <v>2176.0500000000002</v>
      </c>
      <c r="H15" s="307"/>
      <c r="I15" s="325"/>
      <c r="J15" s="346"/>
      <c r="K15" s="291"/>
      <c r="L15" s="292"/>
      <c r="M15" s="95"/>
      <c r="N15" s="95"/>
      <c r="O15" s="95"/>
    </row>
    <row r="16" spans="1:15" ht="15" customHeight="1" thickTop="1" thickBot="1" x14ac:dyDescent="0.25">
      <c r="A16" s="124" t="s">
        <v>270</v>
      </c>
      <c r="B16" s="312"/>
      <c r="C16" s="308" t="s">
        <v>28</v>
      </c>
      <c r="D16" s="69">
        <v>43</v>
      </c>
      <c r="E16" s="324">
        <v>23</v>
      </c>
      <c r="F16" s="14">
        <v>18.472000000000001</v>
      </c>
      <c r="G16" s="11">
        <v>18.344999999999999</v>
      </c>
      <c r="H16" s="306">
        <f>G16/D16</f>
        <v>0.42662790697674419</v>
      </c>
      <c r="I16" s="293"/>
      <c r="J16" s="333"/>
      <c r="K16" s="289"/>
      <c r="L16" s="290"/>
      <c r="M16" s="114" t="s">
        <v>287</v>
      </c>
      <c r="N16" s="44">
        <v>26</v>
      </c>
      <c r="O16" s="95"/>
    </row>
    <row r="17" spans="1:15" ht="15" customHeight="1" thickTop="1" thickBot="1" x14ac:dyDescent="0.25">
      <c r="A17" s="124"/>
      <c r="B17" s="312"/>
      <c r="C17" s="309"/>
      <c r="D17" s="70">
        <v>1343</v>
      </c>
      <c r="E17" s="315"/>
      <c r="F17" s="15">
        <v>1332</v>
      </c>
      <c r="G17" s="67">
        <v>1331.92</v>
      </c>
      <c r="H17" s="307"/>
      <c r="I17" s="294"/>
      <c r="J17" s="334"/>
      <c r="K17" s="291"/>
      <c r="L17" s="292"/>
      <c r="M17" s="95"/>
      <c r="N17" s="95"/>
      <c r="O17" s="95"/>
    </row>
    <row r="18" spans="1:15" ht="15" customHeight="1" thickTop="1" x14ac:dyDescent="0.2">
      <c r="A18" s="124" t="s">
        <v>271</v>
      </c>
      <c r="B18" s="312"/>
      <c r="C18" s="310" t="s">
        <v>171</v>
      </c>
      <c r="D18" s="71">
        <v>17</v>
      </c>
      <c r="E18" s="314">
        <v>15.5</v>
      </c>
      <c r="F18" s="16">
        <v>12.833</v>
      </c>
      <c r="G18" s="12">
        <v>12.805</v>
      </c>
      <c r="H18" s="306">
        <f>G18/D18</f>
        <v>0.753235294117647</v>
      </c>
      <c r="I18" s="303"/>
      <c r="J18" s="304">
        <f>L18+L19</f>
        <v>10.76</v>
      </c>
      <c r="K18" s="31" t="s">
        <v>289</v>
      </c>
      <c r="L18" s="159">
        <v>5.76</v>
      </c>
      <c r="M18" s="95"/>
      <c r="N18" s="95"/>
      <c r="O18" s="95"/>
    </row>
    <row r="19" spans="1:15" ht="15" customHeight="1" thickBot="1" x14ac:dyDescent="0.25">
      <c r="A19" s="124"/>
      <c r="B19" s="312"/>
      <c r="C19" s="311"/>
      <c r="D19" s="72">
        <v>1362.35</v>
      </c>
      <c r="E19" s="326"/>
      <c r="F19" s="17">
        <v>1360.24</v>
      </c>
      <c r="G19" s="65">
        <v>1360.22</v>
      </c>
      <c r="H19" s="307"/>
      <c r="I19" s="325"/>
      <c r="J19" s="335"/>
      <c r="K19" s="32" t="s">
        <v>290</v>
      </c>
      <c r="L19" s="160">
        <v>5</v>
      </c>
      <c r="M19" s="95"/>
      <c r="N19" s="95"/>
      <c r="O19" s="95"/>
    </row>
    <row r="20" spans="1:15" ht="15" customHeight="1" thickTop="1" x14ac:dyDescent="0.2">
      <c r="A20" s="124" t="s">
        <v>272</v>
      </c>
      <c r="B20" s="312"/>
      <c r="C20" s="308" t="s">
        <v>29</v>
      </c>
      <c r="D20" s="69">
        <v>50</v>
      </c>
      <c r="E20" s="324">
        <v>43</v>
      </c>
      <c r="F20" s="14">
        <v>19.658999999999999</v>
      </c>
      <c r="G20" s="11">
        <v>19.096</v>
      </c>
      <c r="H20" s="306">
        <f>G20/D20</f>
        <v>0.38191999999999998</v>
      </c>
      <c r="I20" s="293"/>
      <c r="J20" s="301">
        <v>23</v>
      </c>
      <c r="K20" s="289"/>
      <c r="L20" s="290"/>
      <c r="M20" s="95"/>
      <c r="N20" s="95"/>
      <c r="O20" s="95"/>
    </row>
    <row r="21" spans="1:15" ht="15" customHeight="1" thickBot="1" x14ac:dyDescent="0.25">
      <c r="A21" s="124"/>
      <c r="B21" s="312"/>
      <c r="C21" s="309" t="s">
        <v>29</v>
      </c>
      <c r="D21" s="73"/>
      <c r="E21" s="315"/>
      <c r="F21" s="15">
        <v>1342.11</v>
      </c>
      <c r="G21" s="67">
        <v>1341.86</v>
      </c>
      <c r="H21" s="307"/>
      <c r="I21" s="294"/>
      <c r="J21" s="302"/>
      <c r="K21" s="291"/>
      <c r="L21" s="292"/>
      <c r="M21" s="95"/>
      <c r="N21" s="95"/>
      <c r="O21" s="95"/>
    </row>
    <row r="22" spans="1:15" ht="15" customHeight="1" thickTop="1" x14ac:dyDescent="0.2">
      <c r="A22" s="124" t="s">
        <v>273</v>
      </c>
      <c r="B22" s="312"/>
      <c r="C22" s="310" t="s">
        <v>31</v>
      </c>
      <c r="D22" s="74">
        <v>14.164999999999999</v>
      </c>
      <c r="E22" s="314">
        <v>14.146000000000001</v>
      </c>
      <c r="F22" s="16">
        <v>3.6640000000000001</v>
      </c>
      <c r="G22" s="12">
        <v>5.5419999999999998</v>
      </c>
      <c r="H22" s="306">
        <f>G22/D22</f>
        <v>0.39124602894458171</v>
      </c>
      <c r="I22" s="303"/>
      <c r="J22" s="304">
        <v>16.263000000000002</v>
      </c>
      <c r="K22" s="285"/>
      <c r="L22" s="286"/>
      <c r="M22" s="115" t="s">
        <v>287</v>
      </c>
      <c r="N22" s="45">
        <v>8.5</v>
      </c>
      <c r="O22" s="95"/>
    </row>
    <row r="23" spans="1:15" ht="15" customHeight="1" thickBot="1" x14ac:dyDescent="0.25">
      <c r="A23" s="124"/>
      <c r="B23" s="312"/>
      <c r="C23" s="309" t="s">
        <v>168</v>
      </c>
      <c r="D23" s="70">
        <v>805</v>
      </c>
      <c r="E23" s="315"/>
      <c r="F23" s="18">
        <v>798.87</v>
      </c>
      <c r="G23" s="67">
        <v>800.42</v>
      </c>
      <c r="H23" s="307"/>
      <c r="I23" s="294"/>
      <c r="J23" s="305"/>
      <c r="K23" s="287"/>
      <c r="L23" s="288"/>
      <c r="M23" s="116" t="s">
        <v>288</v>
      </c>
      <c r="N23" s="46">
        <v>1.92</v>
      </c>
      <c r="O23" s="95"/>
    </row>
    <row r="24" spans="1:15" ht="15" customHeight="1" thickTop="1" thickBot="1" x14ac:dyDescent="0.25">
      <c r="A24" s="124"/>
      <c r="B24" s="313"/>
      <c r="C24" s="125" t="s">
        <v>169</v>
      </c>
      <c r="D24" s="83">
        <f>SUM(D12,D14,D16,D18,D20,D22)</f>
        <v>206.66499999999999</v>
      </c>
      <c r="E24" s="80">
        <v>163.64599999999999</v>
      </c>
      <c r="F24" s="84"/>
      <c r="G24" s="85"/>
      <c r="H24" s="95"/>
      <c r="I24" s="95"/>
      <c r="J24" s="95"/>
      <c r="K24" s="95"/>
      <c r="L24" s="95"/>
      <c r="M24" s="95"/>
      <c r="N24" s="95"/>
      <c r="O24" s="95"/>
    </row>
    <row r="25" spans="1:15" ht="13.5" customHeight="1" thickTop="1" x14ac:dyDescent="0.2">
      <c r="A25" s="124"/>
      <c r="B25" s="126"/>
      <c r="C25" s="95"/>
      <c r="D25" s="95"/>
      <c r="E25" s="95"/>
      <c r="F25" s="139"/>
      <c r="G25" s="139"/>
      <c r="H25" s="95"/>
      <c r="I25" s="95"/>
      <c r="J25" s="95"/>
      <c r="K25" s="95"/>
      <c r="L25" s="95"/>
      <c r="M25" s="95"/>
      <c r="N25" s="95"/>
      <c r="O25" s="95"/>
    </row>
    <row r="26" spans="1:15" ht="13.5" customHeight="1" thickBot="1" x14ac:dyDescent="0.25">
      <c r="A26" s="124"/>
      <c r="B26" s="96"/>
      <c r="C26" s="109" t="s">
        <v>170</v>
      </c>
      <c r="D26" s="95"/>
      <c r="E26" s="95"/>
      <c r="F26" s="139"/>
      <c r="G26" s="139"/>
      <c r="H26" s="95"/>
      <c r="I26" s="95"/>
      <c r="J26" s="95"/>
      <c r="K26" s="95"/>
      <c r="L26" s="95"/>
      <c r="M26" s="95"/>
      <c r="N26" s="117"/>
      <c r="O26" s="95"/>
    </row>
    <row r="27" spans="1:15" ht="20.100000000000001" customHeight="1" thickTop="1" x14ac:dyDescent="0.2">
      <c r="A27" s="124" t="s">
        <v>274</v>
      </c>
      <c r="B27" s="281" t="s">
        <v>218</v>
      </c>
      <c r="C27" s="318" t="s">
        <v>260</v>
      </c>
      <c r="D27" s="75">
        <v>9105.5400000000009</v>
      </c>
      <c r="E27" s="316">
        <v>6852.39</v>
      </c>
      <c r="F27" s="22">
        <v>4370.4399999999996</v>
      </c>
      <c r="G27" s="24">
        <v>4354.5600000000004</v>
      </c>
      <c r="H27" s="299">
        <f>G27/D27</f>
        <v>0.47823193352618298</v>
      </c>
      <c r="I27" s="297"/>
      <c r="J27" s="295">
        <v>764.26</v>
      </c>
      <c r="K27" s="378"/>
      <c r="L27" s="379"/>
      <c r="M27" s="95"/>
      <c r="N27" s="117"/>
      <c r="O27" s="117"/>
    </row>
    <row r="28" spans="1:15" ht="20.100000000000001" customHeight="1" thickBot="1" x14ac:dyDescent="0.25">
      <c r="A28" s="124"/>
      <c r="B28" s="312"/>
      <c r="C28" s="319"/>
      <c r="D28" s="76">
        <v>68.5</v>
      </c>
      <c r="E28" s="317"/>
      <c r="F28" s="19">
        <v>60.73</v>
      </c>
      <c r="G28" s="67">
        <v>60.69</v>
      </c>
      <c r="H28" s="300"/>
      <c r="I28" s="298"/>
      <c r="J28" s="296"/>
      <c r="K28" s="380"/>
      <c r="L28" s="381"/>
      <c r="M28" s="95"/>
      <c r="N28" s="95"/>
      <c r="O28" s="95"/>
    </row>
    <row r="29" spans="1:15" ht="20.100000000000001" customHeight="1" thickTop="1" x14ac:dyDescent="0.2">
      <c r="A29" s="124" t="s">
        <v>275</v>
      </c>
      <c r="B29" s="312"/>
      <c r="C29" s="320" t="s">
        <v>261</v>
      </c>
      <c r="D29" s="77">
        <v>3547.16</v>
      </c>
      <c r="E29" s="322">
        <v>2131.84</v>
      </c>
      <c r="F29" s="41">
        <v>1974.09</v>
      </c>
      <c r="G29" s="39">
        <v>1971.16</v>
      </c>
      <c r="H29" s="299">
        <f>G29/D29</f>
        <v>0.55570089874716677</v>
      </c>
      <c r="I29" s="297"/>
      <c r="J29" s="295">
        <v>39</v>
      </c>
      <c r="K29" s="378"/>
      <c r="L29" s="379"/>
      <c r="M29" s="96"/>
      <c r="N29" s="95"/>
      <c r="O29" s="95"/>
    </row>
    <row r="30" spans="1:15" ht="20.100000000000001" customHeight="1" thickBot="1" x14ac:dyDescent="0.25">
      <c r="A30" s="124"/>
      <c r="B30" s="312"/>
      <c r="C30" s="321"/>
      <c r="D30" s="78">
        <v>70.010000000000005</v>
      </c>
      <c r="E30" s="323"/>
      <c r="F30" s="36">
        <v>60.91</v>
      </c>
      <c r="G30" s="67">
        <v>60.89</v>
      </c>
      <c r="H30" s="300"/>
      <c r="I30" s="298"/>
      <c r="J30" s="296"/>
      <c r="K30" s="380"/>
      <c r="L30" s="381"/>
      <c r="M30" s="96"/>
      <c r="N30" s="95"/>
      <c r="O30" s="95"/>
    </row>
    <row r="31" spans="1:15" ht="15" customHeight="1" thickTop="1" thickBot="1" x14ac:dyDescent="0.25">
      <c r="A31" s="124"/>
      <c r="B31" s="313"/>
      <c r="C31" s="127" t="s">
        <v>169</v>
      </c>
      <c r="D31" s="81">
        <v>12652.7</v>
      </c>
      <c r="E31" s="81">
        <v>8984.23</v>
      </c>
      <c r="F31" s="20"/>
      <c r="G31" s="82"/>
      <c r="H31" s="95"/>
      <c r="I31" s="95"/>
      <c r="J31" s="95"/>
      <c r="K31" s="126"/>
      <c r="L31" s="126"/>
      <c r="M31" s="95"/>
      <c r="N31" s="95"/>
      <c r="O31" s="95"/>
    </row>
    <row r="32" spans="1:15" ht="13.5" customHeight="1" thickTop="1" x14ac:dyDescent="0.2">
      <c r="A32" s="124"/>
      <c r="B32" s="126"/>
      <c r="C32" s="95"/>
      <c r="D32" s="95"/>
      <c r="E32" s="95"/>
      <c r="F32" s="139"/>
      <c r="G32" s="139"/>
      <c r="H32" s="95"/>
      <c r="I32" s="95"/>
      <c r="J32" s="95"/>
      <c r="K32" s="95"/>
      <c r="L32" s="95"/>
      <c r="M32" s="95"/>
      <c r="N32" s="95"/>
      <c r="O32" s="95"/>
    </row>
    <row r="33" spans="1:15" ht="13.5" customHeight="1" thickBot="1" x14ac:dyDescent="0.25">
      <c r="A33" s="124"/>
      <c r="B33" s="95"/>
      <c r="C33" s="109" t="s">
        <v>172</v>
      </c>
      <c r="D33" s="109"/>
      <c r="E33" s="109"/>
      <c r="F33" s="140"/>
      <c r="G33" s="139"/>
      <c r="H33" s="95"/>
      <c r="I33" s="95"/>
      <c r="J33" s="95"/>
      <c r="K33" s="95"/>
      <c r="L33" s="95"/>
      <c r="M33" s="95"/>
      <c r="N33" s="95"/>
      <c r="O33" s="95"/>
    </row>
    <row r="34" spans="1:15" ht="20.100000000000001" customHeight="1" thickTop="1" x14ac:dyDescent="0.2">
      <c r="A34" s="124"/>
      <c r="B34" s="281" t="s">
        <v>66</v>
      </c>
      <c r="C34" s="360" t="s">
        <v>18</v>
      </c>
      <c r="D34" s="75">
        <v>572.34799999999996</v>
      </c>
      <c r="E34" s="338">
        <v>340</v>
      </c>
      <c r="F34" s="38"/>
      <c r="G34" s="34"/>
      <c r="H34" s="299"/>
      <c r="I34" s="297"/>
      <c r="J34" s="297"/>
      <c r="K34" s="370"/>
      <c r="L34" s="382"/>
      <c r="M34" s="95"/>
      <c r="N34" s="95"/>
      <c r="O34" s="95"/>
    </row>
    <row r="35" spans="1:15" ht="20.100000000000001" customHeight="1" thickBot="1" x14ac:dyDescent="0.25">
      <c r="A35" s="124"/>
      <c r="B35" s="282"/>
      <c r="C35" s="361"/>
      <c r="D35" s="79">
        <v>28.28</v>
      </c>
      <c r="E35" s="339"/>
      <c r="F35" s="35"/>
      <c r="G35" s="37"/>
      <c r="H35" s="300"/>
      <c r="I35" s="353"/>
      <c r="J35" s="353"/>
      <c r="K35" s="383"/>
      <c r="L35" s="384"/>
      <c r="M35" s="95"/>
      <c r="N35" s="95"/>
      <c r="O35" s="95"/>
    </row>
    <row r="36" spans="1:15" ht="20.100000000000001" customHeight="1" thickTop="1" thickBot="1" x14ac:dyDescent="0.25">
      <c r="A36" s="124" t="s">
        <v>276</v>
      </c>
      <c r="B36" s="282"/>
      <c r="C36" s="360" t="s">
        <v>197</v>
      </c>
      <c r="D36" s="69">
        <v>8.1259999999999994</v>
      </c>
      <c r="E36" s="5">
        <v>2.5</v>
      </c>
      <c r="F36" s="23">
        <v>2.52</v>
      </c>
      <c r="G36" s="11">
        <v>2.52</v>
      </c>
      <c r="H36" s="299">
        <f>G36/D36</f>
        <v>0.31011567807039137</v>
      </c>
      <c r="I36" s="297"/>
      <c r="J36" s="358">
        <v>0.15</v>
      </c>
      <c r="K36" s="385"/>
      <c r="L36" s="371"/>
      <c r="M36" s="95"/>
      <c r="N36" s="95"/>
      <c r="O36" s="95"/>
    </row>
    <row r="37" spans="1:15" ht="20.100000000000001" customHeight="1" thickTop="1" thickBot="1" x14ac:dyDescent="0.25">
      <c r="A37" s="124"/>
      <c r="B37" s="282"/>
      <c r="C37" s="350"/>
      <c r="D37" s="70">
        <v>115.94</v>
      </c>
      <c r="E37" s="6">
        <v>110.78</v>
      </c>
      <c r="F37" s="19">
        <v>110.81</v>
      </c>
      <c r="G37" s="67">
        <v>110.81</v>
      </c>
      <c r="H37" s="300"/>
      <c r="I37" s="353"/>
      <c r="J37" s="359"/>
      <c r="K37" s="372"/>
      <c r="L37" s="373"/>
      <c r="M37" s="118" t="s">
        <v>40</v>
      </c>
      <c r="N37" s="119" t="s">
        <v>284</v>
      </c>
      <c r="O37" s="95"/>
    </row>
    <row r="38" spans="1:15" ht="20.100000000000001" customHeight="1" thickTop="1" thickBot="1" x14ac:dyDescent="0.3">
      <c r="A38" s="124" t="s">
        <v>277</v>
      </c>
      <c r="B38" s="282"/>
      <c r="C38" s="349" t="s">
        <v>229</v>
      </c>
      <c r="D38" s="69">
        <v>250</v>
      </c>
      <c r="E38" s="5">
        <v>233</v>
      </c>
      <c r="F38" s="23"/>
      <c r="G38" s="11"/>
      <c r="H38" s="299"/>
      <c r="I38" s="297"/>
      <c r="J38" s="356">
        <v>15.015000000000001</v>
      </c>
      <c r="K38" s="366"/>
      <c r="L38" s="367"/>
      <c r="M38" s="26" t="s">
        <v>285</v>
      </c>
      <c r="N38" s="120">
        <f>E58</f>
        <v>16.274000000000001</v>
      </c>
      <c r="O38" s="122"/>
    </row>
    <row r="39" spans="1:15" ht="20.100000000000001" customHeight="1" thickTop="1" thickBot="1" x14ac:dyDescent="0.3">
      <c r="A39" s="124"/>
      <c r="B39" s="282"/>
      <c r="C39" s="350"/>
      <c r="D39" s="70">
        <v>333.25</v>
      </c>
      <c r="E39" s="6">
        <v>323</v>
      </c>
      <c r="F39" s="21">
        <v>323.36</v>
      </c>
      <c r="G39" s="29">
        <v>323.37</v>
      </c>
      <c r="H39" s="300"/>
      <c r="I39" s="353"/>
      <c r="J39" s="357"/>
      <c r="K39" s="368"/>
      <c r="L39" s="369"/>
      <c r="M39" s="27" t="s">
        <v>286</v>
      </c>
      <c r="N39" s="28">
        <f>(N38/(2*36))^(2/3)</f>
        <v>0.37105749654912867</v>
      </c>
      <c r="O39" s="122"/>
    </row>
    <row r="40" spans="1:15" ht="20.100000000000001" customHeight="1" thickTop="1" x14ac:dyDescent="0.2">
      <c r="A40" s="124" t="s">
        <v>278</v>
      </c>
      <c r="B40" s="282"/>
      <c r="C40" s="349" t="s">
        <v>230</v>
      </c>
      <c r="D40" s="69">
        <v>17</v>
      </c>
      <c r="E40" s="5">
        <v>14</v>
      </c>
      <c r="F40" s="23"/>
      <c r="G40" s="25"/>
      <c r="H40" s="299"/>
      <c r="I40" s="297"/>
      <c r="J40" s="297"/>
      <c r="K40" s="374"/>
      <c r="L40" s="375"/>
      <c r="M40" s="95"/>
      <c r="N40" s="96"/>
      <c r="O40" s="96"/>
    </row>
    <row r="41" spans="1:15" ht="20.100000000000001" customHeight="1" thickBot="1" x14ac:dyDescent="0.3">
      <c r="A41" s="124"/>
      <c r="B41" s="282"/>
      <c r="C41" s="350"/>
      <c r="D41" s="70">
        <v>88.45</v>
      </c>
      <c r="E41" s="6">
        <v>86.95</v>
      </c>
      <c r="F41" s="21">
        <v>87.6</v>
      </c>
      <c r="G41" s="47">
        <v>87.6</v>
      </c>
      <c r="H41" s="300"/>
      <c r="I41" s="353"/>
      <c r="J41" s="298"/>
      <c r="K41" s="372"/>
      <c r="L41" s="373"/>
      <c r="M41" s="95"/>
      <c r="N41" s="121"/>
      <c r="O41" s="123"/>
    </row>
    <row r="42" spans="1:15" ht="20.100000000000001" customHeight="1" thickTop="1" x14ac:dyDescent="0.2">
      <c r="A42" s="124" t="s">
        <v>279</v>
      </c>
      <c r="B42" s="282"/>
      <c r="C42" s="349" t="s">
        <v>231</v>
      </c>
      <c r="D42" s="69"/>
      <c r="E42" s="5"/>
      <c r="F42" s="23"/>
      <c r="G42" s="25"/>
      <c r="H42" s="299"/>
      <c r="I42" s="297"/>
      <c r="J42" s="356">
        <v>23.844000000000001</v>
      </c>
      <c r="K42" s="366"/>
      <c r="L42" s="367"/>
      <c r="M42" s="95"/>
      <c r="N42" s="95"/>
      <c r="O42" s="95"/>
    </row>
    <row r="43" spans="1:15" ht="20.100000000000001" customHeight="1" thickBot="1" x14ac:dyDescent="0.25">
      <c r="A43" s="124"/>
      <c r="B43" s="282"/>
      <c r="C43" s="350"/>
      <c r="D43" s="70">
        <v>985.5</v>
      </c>
      <c r="E43" s="6">
        <v>981.9</v>
      </c>
      <c r="F43" s="21">
        <v>982</v>
      </c>
      <c r="G43" s="47">
        <v>982.1</v>
      </c>
      <c r="H43" s="300"/>
      <c r="I43" s="353"/>
      <c r="J43" s="357"/>
      <c r="K43" s="368"/>
      <c r="L43" s="369"/>
      <c r="M43" s="95"/>
      <c r="N43" s="95"/>
      <c r="O43" s="95"/>
    </row>
    <row r="44" spans="1:15" ht="20.100000000000001" customHeight="1" thickTop="1" thickBot="1" x14ac:dyDescent="0.25">
      <c r="A44" s="124" t="s">
        <v>280</v>
      </c>
      <c r="B44" s="282"/>
      <c r="C44" s="351" t="s">
        <v>198</v>
      </c>
      <c r="D44" s="69" t="s">
        <v>173</v>
      </c>
      <c r="E44" s="354">
        <v>200.4</v>
      </c>
      <c r="F44" s="23">
        <v>22.02</v>
      </c>
      <c r="G44" s="11">
        <v>21.286000000000001</v>
      </c>
      <c r="H44" s="299"/>
      <c r="I44" s="297"/>
      <c r="J44" s="356">
        <v>17.111999999999998</v>
      </c>
      <c r="K44" s="362"/>
      <c r="L44" s="363"/>
      <c r="M44" s="114" t="s">
        <v>287</v>
      </c>
      <c r="N44" s="44">
        <v>0</v>
      </c>
      <c r="O44" s="95"/>
    </row>
    <row r="45" spans="1:15" ht="20.100000000000001" customHeight="1" thickTop="1" thickBot="1" x14ac:dyDescent="0.25">
      <c r="A45" s="124"/>
      <c r="B45" s="282"/>
      <c r="C45" s="352"/>
      <c r="D45" s="70">
        <v>332.8</v>
      </c>
      <c r="E45" s="355"/>
      <c r="F45" s="21">
        <v>332</v>
      </c>
      <c r="G45" s="47">
        <v>331.99</v>
      </c>
      <c r="H45" s="300"/>
      <c r="I45" s="353"/>
      <c r="J45" s="357"/>
      <c r="K45" s="364"/>
      <c r="L45" s="365"/>
      <c r="M45" s="95"/>
      <c r="N45" s="95"/>
      <c r="O45" s="95"/>
    </row>
    <row r="46" spans="1:15" ht="20.100000000000001" customHeight="1" thickTop="1" x14ac:dyDescent="0.2">
      <c r="A46" s="124" t="s">
        <v>281</v>
      </c>
      <c r="B46" s="282"/>
      <c r="C46" s="386" t="s">
        <v>99</v>
      </c>
      <c r="D46" s="75">
        <v>31.6</v>
      </c>
      <c r="E46" s="388">
        <v>12.574</v>
      </c>
      <c r="F46" s="38">
        <v>16.123999999999999</v>
      </c>
      <c r="G46" s="34">
        <v>16.542000000000002</v>
      </c>
      <c r="H46" s="299">
        <f>G46/D46</f>
        <v>0.52348101265822788</v>
      </c>
      <c r="I46" s="297"/>
      <c r="J46" s="336">
        <v>3.121</v>
      </c>
      <c r="K46" s="370"/>
      <c r="L46" s="371"/>
      <c r="M46" s="95"/>
      <c r="N46" s="95"/>
      <c r="O46" s="95"/>
    </row>
    <row r="47" spans="1:15" ht="20.100000000000001" customHeight="1" thickBot="1" x14ac:dyDescent="0.25">
      <c r="A47" s="124"/>
      <c r="B47" s="283"/>
      <c r="C47" s="387"/>
      <c r="D47" s="76">
        <v>21.65</v>
      </c>
      <c r="E47" s="389"/>
      <c r="F47" s="36">
        <v>19.25</v>
      </c>
      <c r="G47" s="67">
        <v>19.329999999999998</v>
      </c>
      <c r="H47" s="300"/>
      <c r="I47" s="298"/>
      <c r="J47" s="337"/>
      <c r="K47" s="372"/>
      <c r="L47" s="373"/>
      <c r="M47" s="95"/>
      <c r="N47" s="95"/>
      <c r="O47" s="95"/>
    </row>
    <row r="48" spans="1:15" ht="15" customHeight="1" thickTop="1" thickBot="1" x14ac:dyDescent="0.25">
      <c r="A48" s="124"/>
      <c r="B48" s="284"/>
      <c r="C48" s="128" t="s">
        <v>169</v>
      </c>
      <c r="D48" s="141" t="s">
        <v>173</v>
      </c>
      <c r="E48" s="142">
        <v>555.47400000000005</v>
      </c>
      <c r="F48" s="40"/>
      <c r="G48" s="143"/>
      <c r="H48" s="95"/>
      <c r="I48" s="95"/>
      <c r="J48" s="95"/>
      <c r="K48" s="95"/>
      <c r="L48" s="95"/>
      <c r="M48" s="95"/>
      <c r="N48" s="95"/>
      <c r="O48" s="95"/>
    </row>
    <row r="49" spans="1:15" ht="13.5" customHeight="1" thickTop="1" thickBot="1" x14ac:dyDescent="0.25">
      <c r="A49" s="124"/>
      <c r="B49" s="95"/>
      <c r="C49" s="95"/>
      <c r="D49" s="95"/>
      <c r="E49" s="95"/>
      <c r="F49" s="109"/>
      <c r="G49" s="109"/>
      <c r="H49" s="109"/>
      <c r="I49" s="95"/>
      <c r="J49" s="95"/>
      <c r="K49" s="95"/>
      <c r="L49" s="95"/>
      <c r="M49" s="95"/>
      <c r="N49" s="95"/>
      <c r="O49" s="95"/>
    </row>
    <row r="50" spans="1:15" ht="15" customHeight="1" thickTop="1" thickBot="1" x14ac:dyDescent="0.25">
      <c r="A50" s="124"/>
      <c r="B50" s="129"/>
      <c r="C50" s="125" t="s">
        <v>174</v>
      </c>
      <c r="D50" s="144" t="s">
        <v>173</v>
      </c>
      <c r="E50" s="145" t="s">
        <v>188</v>
      </c>
      <c r="F50" s="42" t="s">
        <v>291</v>
      </c>
      <c r="G50" s="42" t="s">
        <v>292</v>
      </c>
      <c r="H50" s="43" t="s">
        <v>267</v>
      </c>
      <c r="I50" s="148" t="s">
        <v>176</v>
      </c>
      <c r="J50" s="149"/>
      <c r="K50" s="4" t="s">
        <v>185</v>
      </c>
      <c r="L50" s="68"/>
      <c r="M50" s="95"/>
      <c r="N50" s="95"/>
      <c r="O50" s="95"/>
    </row>
    <row r="51" spans="1:15" ht="15" customHeight="1" thickTop="1" x14ac:dyDescent="0.2">
      <c r="A51" s="124"/>
      <c r="B51" s="95"/>
      <c r="C51" s="95"/>
      <c r="D51" s="95"/>
      <c r="E51" s="146" t="s">
        <v>266</v>
      </c>
      <c r="F51" s="48">
        <v>0</v>
      </c>
      <c r="G51" s="49">
        <v>2</v>
      </c>
      <c r="H51" s="50">
        <v>46</v>
      </c>
      <c r="I51" s="150" t="s">
        <v>177</v>
      </c>
      <c r="J51" s="151"/>
      <c r="K51" s="1" t="s">
        <v>186</v>
      </c>
      <c r="L51" s="86"/>
      <c r="M51" s="95"/>
      <c r="N51" s="95"/>
      <c r="O51" s="95"/>
    </row>
    <row r="52" spans="1:15" ht="15" customHeight="1" thickBot="1" x14ac:dyDescent="0.25">
      <c r="A52" s="124"/>
      <c r="B52" s="95"/>
      <c r="C52" s="95"/>
      <c r="D52" s="95"/>
      <c r="E52" s="147" t="s">
        <v>175</v>
      </c>
      <c r="F52" s="166">
        <v>1.22</v>
      </c>
      <c r="G52" s="13"/>
      <c r="H52" s="88">
        <v>3.02</v>
      </c>
      <c r="I52" s="152" t="s">
        <v>178</v>
      </c>
      <c r="J52" s="153"/>
      <c r="K52" s="2" t="s">
        <v>187</v>
      </c>
      <c r="L52" s="63"/>
      <c r="M52" s="95"/>
      <c r="N52" s="95"/>
      <c r="O52" s="95"/>
    </row>
    <row r="53" spans="1:15" ht="15" customHeight="1" thickTop="1" thickBot="1" x14ac:dyDescent="0.25">
      <c r="A53" s="124"/>
      <c r="B53" s="95"/>
      <c r="C53" s="95"/>
      <c r="D53" s="95"/>
      <c r="E53" s="95"/>
      <c r="F53" s="95"/>
      <c r="G53" s="95"/>
      <c r="H53" s="95"/>
      <c r="I53" s="95"/>
      <c r="J53" s="95"/>
      <c r="K53" s="3" t="s">
        <v>174</v>
      </c>
      <c r="L53" s="64">
        <v>3.121</v>
      </c>
      <c r="M53" s="95"/>
      <c r="N53" s="95"/>
      <c r="O53" s="95"/>
    </row>
    <row r="54" spans="1:15" ht="13.5" customHeight="1" thickTop="1" thickBot="1" x14ac:dyDescent="0.25">
      <c r="A54" s="124"/>
      <c r="B54" s="95"/>
      <c r="C54" s="95"/>
      <c r="D54" s="95"/>
      <c r="E54" s="95"/>
      <c r="F54" s="95"/>
      <c r="G54" s="95"/>
      <c r="H54" s="95"/>
      <c r="I54" s="95"/>
      <c r="J54" s="95"/>
      <c r="M54" s="95"/>
      <c r="N54" s="95"/>
      <c r="O54" s="95"/>
    </row>
    <row r="55" spans="1:15" ht="13.5" customHeight="1" thickTop="1" x14ac:dyDescent="0.2">
      <c r="A55" s="124"/>
      <c r="B55" s="376" t="s">
        <v>1</v>
      </c>
      <c r="C55" s="377"/>
      <c r="D55" s="7" t="s">
        <v>113</v>
      </c>
      <c r="E55" s="7" t="s">
        <v>115</v>
      </c>
      <c r="F55" s="7" t="s">
        <v>6</v>
      </c>
      <c r="G55" s="9" t="s">
        <v>10</v>
      </c>
      <c r="H55" s="376" t="s">
        <v>1</v>
      </c>
      <c r="I55" s="377"/>
      <c r="J55" s="157" t="s">
        <v>113</v>
      </c>
      <c r="K55" s="157" t="s">
        <v>115</v>
      </c>
      <c r="L55" s="158" t="s">
        <v>6</v>
      </c>
      <c r="M55" s="95"/>
      <c r="N55" s="95"/>
      <c r="O55" s="95"/>
    </row>
    <row r="56" spans="1:15" ht="13.5" customHeight="1" x14ac:dyDescent="0.2">
      <c r="A56" s="124"/>
      <c r="B56" s="130" t="s">
        <v>219</v>
      </c>
      <c r="C56" s="131"/>
      <c r="D56" s="51">
        <v>0.88</v>
      </c>
      <c r="E56" s="52">
        <v>12.907</v>
      </c>
      <c r="F56" s="53">
        <v>4.5999999999999996</v>
      </c>
      <c r="G56" s="33"/>
      <c r="H56" s="154" t="s">
        <v>221</v>
      </c>
      <c r="I56" s="131"/>
      <c r="J56" s="51">
        <v>1.83</v>
      </c>
      <c r="K56" s="52">
        <v>19.640999999999998</v>
      </c>
      <c r="L56" s="50">
        <v>10.7</v>
      </c>
      <c r="M56" s="95"/>
      <c r="N56" s="95"/>
      <c r="O56" s="95"/>
    </row>
    <row r="57" spans="1:15" ht="13.5" customHeight="1" x14ac:dyDescent="0.2">
      <c r="A57" s="124"/>
      <c r="B57" s="130" t="s">
        <v>220</v>
      </c>
      <c r="C57" s="131"/>
      <c r="D57" s="51">
        <v>2.77</v>
      </c>
      <c r="E57" s="52">
        <v>2.7909999999999999</v>
      </c>
      <c r="F57" s="53">
        <v>9.5</v>
      </c>
      <c r="G57" s="33"/>
      <c r="H57" s="154" t="s">
        <v>222</v>
      </c>
      <c r="I57" s="131"/>
      <c r="J57" s="51">
        <v>1.22</v>
      </c>
      <c r="K57" s="52">
        <v>57.070999999999998</v>
      </c>
      <c r="L57" s="50">
        <v>13.4</v>
      </c>
      <c r="M57" s="95"/>
      <c r="N57" s="95"/>
      <c r="O57" s="95"/>
    </row>
    <row r="58" spans="1:15" ht="13.5" customHeight="1" x14ac:dyDescent="0.2">
      <c r="A58" s="124"/>
      <c r="B58" s="132" t="s">
        <v>40</v>
      </c>
      <c r="C58" s="132"/>
      <c r="D58" s="54">
        <v>1.03</v>
      </c>
      <c r="E58" s="55">
        <v>16.274000000000001</v>
      </c>
      <c r="F58" s="53">
        <v>1.7</v>
      </c>
      <c r="G58" s="59">
        <v>2.6</v>
      </c>
      <c r="H58" s="155" t="s">
        <v>223</v>
      </c>
      <c r="I58" s="134"/>
      <c r="J58" s="54">
        <v>0.91</v>
      </c>
      <c r="K58" s="55">
        <v>71.268000000000001</v>
      </c>
      <c r="L58" s="60">
        <v>0</v>
      </c>
      <c r="M58" s="95"/>
      <c r="N58" s="95"/>
      <c r="O58" s="95"/>
    </row>
    <row r="59" spans="1:15" ht="13.5" customHeight="1" thickBot="1" x14ac:dyDescent="0.25">
      <c r="A59" s="124"/>
      <c r="B59" s="133" t="s">
        <v>196</v>
      </c>
      <c r="C59" s="134"/>
      <c r="D59" s="54">
        <v>1.05</v>
      </c>
      <c r="E59" s="55">
        <v>73.231999999999999</v>
      </c>
      <c r="F59" s="53">
        <v>7.5</v>
      </c>
      <c r="G59" s="33"/>
      <c r="H59" s="156" t="s">
        <v>224</v>
      </c>
      <c r="I59" s="138"/>
      <c r="J59" s="56">
        <v>1.19</v>
      </c>
      <c r="K59" s="57">
        <v>12.121</v>
      </c>
      <c r="L59" s="61">
        <v>0</v>
      </c>
      <c r="M59" s="95"/>
      <c r="N59" s="95"/>
      <c r="O59" s="95"/>
    </row>
    <row r="60" spans="1:15" ht="13.5" customHeight="1" thickTop="1" x14ac:dyDescent="0.2">
      <c r="A60" s="124"/>
      <c r="B60" s="135" t="s">
        <v>179</v>
      </c>
      <c r="C60" s="136"/>
      <c r="D60" s="54">
        <v>1.84</v>
      </c>
      <c r="E60" s="55">
        <v>101.01</v>
      </c>
      <c r="F60" s="53">
        <v>2.2000000000000002</v>
      </c>
      <c r="G60" s="33"/>
      <c r="H60" s="95"/>
      <c r="I60" s="95"/>
      <c r="J60" s="95"/>
      <c r="K60" s="95"/>
      <c r="L60" s="95"/>
      <c r="M60" s="95"/>
      <c r="N60" s="95"/>
      <c r="O60" s="95"/>
    </row>
    <row r="61" spans="1:15" ht="13.5" customHeight="1" thickBot="1" x14ac:dyDescent="0.25">
      <c r="A61" s="124"/>
      <c r="B61" s="137" t="s">
        <v>180</v>
      </c>
      <c r="C61" s="138"/>
      <c r="D61" s="56">
        <v>60.66</v>
      </c>
      <c r="E61" s="57">
        <v>318.40300000000002</v>
      </c>
      <c r="F61" s="58">
        <v>4.7</v>
      </c>
      <c r="G61" s="88">
        <v>1.47</v>
      </c>
      <c r="H61" s="95"/>
      <c r="I61" s="95"/>
      <c r="J61" s="95"/>
      <c r="K61" s="95"/>
      <c r="L61" s="95"/>
      <c r="M61" s="95"/>
      <c r="N61" s="95"/>
      <c r="O61" s="95"/>
    </row>
    <row r="62" spans="1:15" ht="13.5" thickTop="1" x14ac:dyDescent="0.2">
      <c r="M62" s="30"/>
      <c r="N62" s="30"/>
      <c r="O62" s="30"/>
    </row>
    <row r="63" spans="1:15" x14ac:dyDescent="0.2">
      <c r="M63" s="30"/>
      <c r="N63" s="30"/>
      <c r="O63" s="30"/>
    </row>
    <row r="64" spans="1:15" x14ac:dyDescent="0.2">
      <c r="M64" s="30"/>
      <c r="N64" s="30"/>
      <c r="O64" s="30"/>
    </row>
  </sheetData>
  <mergeCells count="99">
    <mergeCell ref="K46:L47"/>
    <mergeCell ref="K40:L41"/>
    <mergeCell ref="H55:I55"/>
    <mergeCell ref="B55:C55"/>
    <mergeCell ref="K27:L28"/>
    <mergeCell ref="K29:L30"/>
    <mergeCell ref="K34:L35"/>
    <mergeCell ref="K36:L37"/>
    <mergeCell ref="H38:H39"/>
    <mergeCell ref="I38:I39"/>
    <mergeCell ref="H40:H41"/>
    <mergeCell ref="I40:I41"/>
    <mergeCell ref="H42:H43"/>
    <mergeCell ref="I42:I43"/>
    <mergeCell ref="C46:C47"/>
    <mergeCell ref="E46:E47"/>
    <mergeCell ref="K44:L45"/>
    <mergeCell ref="H34:H35"/>
    <mergeCell ref="H36:H37"/>
    <mergeCell ref="I36:I37"/>
    <mergeCell ref="H44:H45"/>
    <mergeCell ref="K38:L39"/>
    <mergeCell ref="K42:L43"/>
    <mergeCell ref="C38:C39"/>
    <mergeCell ref="C44:C45"/>
    <mergeCell ref="I44:I45"/>
    <mergeCell ref="E44:E45"/>
    <mergeCell ref="J34:J35"/>
    <mergeCell ref="J44:J45"/>
    <mergeCell ref="J36:J37"/>
    <mergeCell ref="J38:J39"/>
    <mergeCell ref="J40:J41"/>
    <mergeCell ref="J42:J43"/>
    <mergeCell ref="C40:C41"/>
    <mergeCell ref="C42:C43"/>
    <mergeCell ref="C36:C37"/>
    <mergeCell ref="I34:I35"/>
    <mergeCell ref="C34:C35"/>
    <mergeCell ref="J46:J47"/>
    <mergeCell ref="E34:E35"/>
    <mergeCell ref="H46:H47"/>
    <mergeCell ref="I46:I47"/>
    <mergeCell ref="E1:K1"/>
    <mergeCell ref="K20:L21"/>
    <mergeCell ref="K9:L9"/>
    <mergeCell ref="E12:E13"/>
    <mergeCell ref="E14:E15"/>
    <mergeCell ref="E16:E17"/>
    <mergeCell ref="J14:J15"/>
    <mergeCell ref="H16:H17"/>
    <mergeCell ref="H12:H13"/>
    <mergeCell ref="F7:G7"/>
    <mergeCell ref="F9:G9"/>
    <mergeCell ref="K7:L7"/>
    <mergeCell ref="J20:J21"/>
    <mergeCell ref="E20:E21"/>
    <mergeCell ref="I14:I15"/>
    <mergeCell ref="E18:E19"/>
    <mergeCell ref="E2:K2"/>
    <mergeCell ref="B5:L5"/>
    <mergeCell ref="I16:I17"/>
    <mergeCell ref="K8:L8"/>
    <mergeCell ref="J16:J17"/>
    <mergeCell ref="H18:H19"/>
    <mergeCell ref="E3:K3"/>
    <mergeCell ref="I18:I19"/>
    <mergeCell ref="J18:J19"/>
    <mergeCell ref="H20:H21"/>
    <mergeCell ref="I20:I21"/>
    <mergeCell ref="B12:B24"/>
    <mergeCell ref="B27:B31"/>
    <mergeCell ref="E22:E23"/>
    <mergeCell ref="E27:E28"/>
    <mergeCell ref="H22:H23"/>
    <mergeCell ref="C27:C28"/>
    <mergeCell ref="C29:C30"/>
    <mergeCell ref="E29:E30"/>
    <mergeCell ref="C12:C13"/>
    <mergeCell ref="C20:C21"/>
    <mergeCell ref="C22:C23"/>
    <mergeCell ref="C18:C19"/>
    <mergeCell ref="C16:C17"/>
    <mergeCell ref="C14:C15"/>
    <mergeCell ref="B34:B48"/>
    <mergeCell ref="K22:L23"/>
    <mergeCell ref="K12:L13"/>
    <mergeCell ref="K14:L15"/>
    <mergeCell ref="K16:L17"/>
    <mergeCell ref="I12:I13"/>
    <mergeCell ref="J29:J30"/>
    <mergeCell ref="I29:I30"/>
    <mergeCell ref="H29:H30"/>
    <mergeCell ref="J12:J13"/>
    <mergeCell ref="I22:I23"/>
    <mergeCell ref="J22:J23"/>
    <mergeCell ref="J27:J28"/>
    <mergeCell ref="H27:H28"/>
    <mergeCell ref="I27:I28"/>
    <mergeCell ref="H14:H15"/>
  </mergeCells>
  <phoneticPr fontId="0" type="noConversion"/>
  <printOptions horizontalCentered="1" verticalCentered="1"/>
  <pageMargins left="0.23622047244094491" right="0.23622047244094491" top="0.74803149606299213" bottom="0.74803149606299213" header="0.31496062992125984" footer="0.31496062992125984"/>
  <pageSetup scale="8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btnCapturar">
          <controlPr disabled="1" autoLine="0" r:id="rId5">
            <anchor moveWithCells="1">
              <from>
                <xdr:col>12</xdr:col>
                <xdr:colOff>361950</xdr:colOff>
                <xdr:row>0</xdr:row>
                <xdr:rowOff>28575</xdr:rowOff>
              </from>
              <to>
                <xdr:col>13</xdr:col>
                <xdr:colOff>514350</xdr:colOff>
                <xdr:row>2</xdr:row>
                <xdr:rowOff>9525</xdr:rowOff>
              </to>
            </anchor>
          </controlPr>
        </control>
      </mc:Choice>
      <mc:Fallback>
        <control shapeId="1025" r:id="rId4" name="btnCapturar"/>
      </mc:Fallback>
    </mc:AlternateContent>
    <mc:AlternateContent xmlns:mc="http://schemas.openxmlformats.org/markup-compatibility/2006">
      <mc:Choice Requires="x14">
        <control shapeId="1026" r:id="rId6" name="btnActualizar">
          <controlPr autoLine="0" r:id="rId7">
            <anchor moveWithCells="1">
              <from>
                <xdr:col>12</xdr:col>
                <xdr:colOff>352425</xdr:colOff>
                <xdr:row>2</xdr:row>
                <xdr:rowOff>19050</xdr:rowOff>
              </from>
              <to>
                <xdr:col>13</xdr:col>
                <xdr:colOff>514350</xdr:colOff>
                <xdr:row>4</xdr:row>
                <xdr:rowOff>0</xdr:rowOff>
              </to>
            </anchor>
          </controlPr>
        </control>
      </mc:Choice>
      <mc:Fallback>
        <control shapeId="1026" r:id="rId6" name="btnActualiz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P56"/>
  <sheetViews>
    <sheetView zoomScale="90" zoomScaleNormal="90" workbookViewId="0">
      <pane xSplit="6" ySplit="9" topLeftCell="G10" activePane="bottomRight" state="frozen"/>
      <selection pane="topRight" activeCell="G1" sqref="G1"/>
      <selection pane="bottomLeft" activeCell="A10" sqref="A10"/>
      <selection pane="bottomRight" activeCell="G10" sqref="G10"/>
    </sheetView>
  </sheetViews>
  <sheetFormatPr baseColWidth="10" defaultRowHeight="12.75" x14ac:dyDescent="0.2"/>
  <cols>
    <col min="1" max="1" width="4.5703125" style="255" customWidth="1"/>
    <col min="2" max="2" width="23.42578125" customWidth="1"/>
    <col min="3" max="3" width="21.28515625" customWidth="1"/>
    <col min="4" max="8" width="10.7109375" customWidth="1"/>
    <col min="9" max="9" width="4.7109375" customWidth="1"/>
    <col min="10" max="10" width="11.42578125" customWidth="1"/>
    <col min="12" max="12" width="13.42578125" bestFit="1" customWidth="1"/>
    <col min="15" max="15" width="15.7109375" bestFit="1" customWidth="1"/>
  </cols>
  <sheetData>
    <row r="1" spans="1:16" ht="13.5" thickBot="1" x14ac:dyDescent="0.25">
      <c r="A1" s="253"/>
      <c r="B1" s="390" t="s">
        <v>190</v>
      </c>
      <c r="C1" s="391"/>
      <c r="D1" s="391"/>
      <c r="E1" s="391"/>
      <c r="F1" s="391"/>
      <c r="G1" s="391"/>
      <c r="H1" s="391"/>
      <c r="I1" s="95"/>
      <c r="J1" s="95"/>
    </row>
    <row r="2" spans="1:16" x14ac:dyDescent="0.2">
      <c r="A2" s="253"/>
      <c r="B2" s="340" t="s">
        <v>189</v>
      </c>
      <c r="C2" s="340"/>
      <c r="D2" s="340"/>
      <c r="E2" s="340"/>
      <c r="F2" s="340"/>
      <c r="G2" s="340"/>
      <c r="H2" s="340"/>
      <c r="I2" s="113"/>
      <c r="J2" s="95"/>
      <c r="L2" s="395" t="s">
        <v>429</v>
      </c>
      <c r="M2" s="396"/>
      <c r="O2" s="395" t="s">
        <v>433</v>
      </c>
      <c r="P2" s="396"/>
    </row>
    <row r="3" spans="1:16" x14ac:dyDescent="0.2">
      <c r="A3" s="253"/>
      <c r="B3" s="397" t="s">
        <v>109</v>
      </c>
      <c r="C3" s="397"/>
      <c r="D3" s="397"/>
      <c r="E3" s="397"/>
      <c r="F3" s="397"/>
      <c r="G3" s="397"/>
      <c r="H3" s="397"/>
      <c r="I3" s="113"/>
      <c r="J3" s="95"/>
      <c r="L3" s="256" t="s">
        <v>430</v>
      </c>
      <c r="M3" s="257">
        <v>1</v>
      </c>
      <c r="O3" s="256" t="s">
        <v>434</v>
      </c>
      <c r="P3" s="260">
        <v>37.65</v>
      </c>
    </row>
    <row r="4" spans="1:16" x14ac:dyDescent="0.2">
      <c r="A4" s="253"/>
      <c r="B4" s="182"/>
      <c r="C4" s="182"/>
      <c r="D4" s="182"/>
      <c r="E4" s="182"/>
      <c r="F4" s="182"/>
      <c r="G4" s="182"/>
      <c r="H4" s="182"/>
      <c r="I4" s="113"/>
      <c r="J4" s="95"/>
      <c r="L4" s="256" t="s">
        <v>431</v>
      </c>
      <c r="M4" s="257">
        <v>0</v>
      </c>
      <c r="O4" s="256" t="s">
        <v>435</v>
      </c>
      <c r="P4" s="261">
        <v>37.65</v>
      </c>
    </row>
    <row r="5" spans="1:16" ht="13.5" thickBot="1" x14ac:dyDescent="0.25">
      <c r="A5" s="253"/>
      <c r="B5" s="398" t="s">
        <v>473</v>
      </c>
      <c r="C5" s="399"/>
      <c r="D5" s="399"/>
      <c r="E5" s="399"/>
      <c r="F5" s="399"/>
      <c r="G5" s="399"/>
      <c r="H5" s="399"/>
      <c r="I5" s="171"/>
      <c r="J5" s="95"/>
      <c r="L5" s="258" t="s">
        <v>432</v>
      </c>
      <c r="M5" s="259">
        <v>-1</v>
      </c>
      <c r="O5" s="256" t="s">
        <v>436</v>
      </c>
      <c r="P5" s="262">
        <v>37.65</v>
      </c>
    </row>
    <row r="6" spans="1:16" ht="13.5" thickBot="1" x14ac:dyDescent="0.25">
      <c r="A6" s="253"/>
      <c r="B6" s="183"/>
      <c r="C6" s="183"/>
      <c r="D6" s="183"/>
      <c r="E6" s="183"/>
      <c r="F6" s="183"/>
      <c r="G6" s="183"/>
      <c r="H6" s="183"/>
      <c r="I6" s="171"/>
      <c r="J6" s="95"/>
      <c r="O6" s="263" t="s">
        <v>437</v>
      </c>
      <c r="P6" s="264" t="s">
        <v>438</v>
      </c>
    </row>
    <row r="7" spans="1:16" ht="13.5" customHeight="1" thickTop="1" x14ac:dyDescent="0.2">
      <c r="A7" s="253"/>
      <c r="B7" s="184"/>
      <c r="C7" s="185"/>
      <c r="D7" s="185" t="s">
        <v>113</v>
      </c>
      <c r="E7" s="186" t="s">
        <v>115</v>
      </c>
      <c r="F7" s="186" t="s">
        <v>113</v>
      </c>
      <c r="G7" s="186" t="s">
        <v>118</v>
      </c>
      <c r="H7" s="187" t="s">
        <v>115</v>
      </c>
      <c r="I7" s="171"/>
      <c r="J7" s="392" t="s">
        <v>427</v>
      </c>
    </row>
    <row r="8" spans="1:16" x14ac:dyDescent="0.2">
      <c r="A8" s="253"/>
      <c r="B8" s="188" t="s">
        <v>1</v>
      </c>
      <c r="C8" s="189" t="s">
        <v>112</v>
      </c>
      <c r="D8" s="189" t="s">
        <v>114</v>
      </c>
      <c r="E8" s="190" t="s">
        <v>116</v>
      </c>
      <c r="F8" s="190" t="s">
        <v>117</v>
      </c>
      <c r="G8" s="190" t="s">
        <v>119</v>
      </c>
      <c r="H8" s="191" t="s">
        <v>119</v>
      </c>
      <c r="I8" s="171"/>
      <c r="J8" s="393"/>
    </row>
    <row r="9" spans="1:16" ht="13.5" thickBot="1" x14ac:dyDescent="0.25">
      <c r="A9" s="254" t="s">
        <v>293</v>
      </c>
      <c r="B9" s="192"/>
      <c r="C9" s="193"/>
      <c r="D9" s="193" t="s">
        <v>148</v>
      </c>
      <c r="E9" s="194" t="s">
        <v>149</v>
      </c>
      <c r="F9" s="194" t="s">
        <v>148</v>
      </c>
      <c r="G9" s="194" t="s">
        <v>148</v>
      </c>
      <c r="H9" s="195" t="s">
        <v>149</v>
      </c>
      <c r="I9" s="95"/>
      <c r="J9" s="394"/>
    </row>
    <row r="10" spans="1:16" ht="12.95" customHeight="1" thickTop="1" x14ac:dyDescent="0.2">
      <c r="A10" s="253"/>
      <c r="B10" s="202" t="s">
        <v>11</v>
      </c>
      <c r="C10" s="203" t="s">
        <v>253</v>
      </c>
      <c r="D10" s="90">
        <v>92.15</v>
      </c>
      <c r="E10" s="90">
        <v>940</v>
      </c>
      <c r="F10" s="196"/>
      <c r="G10" s="197"/>
      <c r="H10" s="198"/>
      <c r="I10" s="242"/>
      <c r="J10" s="247"/>
    </row>
    <row r="11" spans="1:16" ht="12.95" customHeight="1" x14ac:dyDescent="0.2">
      <c r="A11" s="253"/>
      <c r="B11" s="204" t="s">
        <v>12</v>
      </c>
      <c r="C11" s="205" t="s">
        <v>254</v>
      </c>
      <c r="D11" s="91">
        <v>5.08</v>
      </c>
      <c r="E11" s="91">
        <v>1600</v>
      </c>
      <c r="F11" s="199"/>
      <c r="G11" s="199"/>
      <c r="H11" s="200"/>
      <c r="I11" s="242"/>
      <c r="J11" s="248"/>
      <c r="O11" s="165"/>
    </row>
    <row r="12" spans="1:16" ht="12.95" customHeight="1" x14ac:dyDescent="0.2">
      <c r="A12" s="253"/>
      <c r="B12" s="204" t="s">
        <v>13</v>
      </c>
      <c r="C12" s="205" t="s">
        <v>120</v>
      </c>
      <c r="D12" s="91">
        <v>15</v>
      </c>
      <c r="E12" s="91">
        <v>2700</v>
      </c>
      <c r="F12" s="199"/>
      <c r="G12" s="199"/>
      <c r="H12" s="200"/>
      <c r="I12" s="242"/>
      <c r="J12" s="248"/>
    </row>
    <row r="13" spans="1:16" ht="12.95" customHeight="1" x14ac:dyDescent="0.2">
      <c r="A13" s="253"/>
      <c r="B13" s="204" t="s">
        <v>14</v>
      </c>
      <c r="C13" s="205" t="s">
        <v>120</v>
      </c>
      <c r="D13" s="91">
        <v>17</v>
      </c>
      <c r="E13" s="91">
        <v>2340</v>
      </c>
      <c r="F13" s="199"/>
      <c r="G13" s="199"/>
      <c r="H13" s="200"/>
      <c r="I13" s="242"/>
      <c r="J13" s="248"/>
    </row>
    <row r="14" spans="1:16" ht="12.95" customHeight="1" x14ac:dyDescent="0.2">
      <c r="A14" s="253"/>
      <c r="B14" s="204" t="s">
        <v>15</v>
      </c>
      <c r="C14" s="205" t="s">
        <v>128</v>
      </c>
      <c r="D14" s="91">
        <v>23</v>
      </c>
      <c r="E14" s="92"/>
      <c r="F14" s="199"/>
      <c r="G14" s="199"/>
      <c r="H14" s="200"/>
      <c r="I14" s="242"/>
      <c r="J14" s="248"/>
    </row>
    <row r="15" spans="1:16" ht="12.95" customHeight="1" x14ac:dyDescent="0.2">
      <c r="A15" s="253"/>
      <c r="B15" s="204" t="s">
        <v>16</v>
      </c>
      <c r="C15" s="205" t="s">
        <v>128</v>
      </c>
      <c r="D15" s="91">
        <v>22.5</v>
      </c>
      <c r="E15" s="91">
        <v>4400</v>
      </c>
      <c r="F15" s="199"/>
      <c r="G15" s="199"/>
      <c r="H15" s="200"/>
      <c r="I15" s="242"/>
      <c r="J15" s="248"/>
      <c r="M15" s="239"/>
    </row>
    <row r="16" spans="1:16" ht="12.95" customHeight="1" x14ac:dyDescent="0.2">
      <c r="A16" s="253"/>
      <c r="B16" s="204" t="s">
        <v>17</v>
      </c>
      <c r="C16" s="205" t="s">
        <v>129</v>
      </c>
      <c r="D16" s="91">
        <v>7.3</v>
      </c>
      <c r="E16" s="234"/>
      <c r="F16" s="199"/>
      <c r="G16" s="199"/>
      <c r="H16" s="200"/>
      <c r="I16" s="242"/>
      <c r="J16" s="248"/>
      <c r="L16" s="239" t="s">
        <v>426</v>
      </c>
    </row>
    <row r="17" spans="1:12" ht="12.95" customHeight="1" x14ac:dyDescent="0.2">
      <c r="A17" s="253" t="s">
        <v>294</v>
      </c>
      <c r="B17" s="204" t="s">
        <v>19</v>
      </c>
      <c r="C17" s="205" t="s">
        <v>130</v>
      </c>
      <c r="D17" s="91">
        <v>39.5</v>
      </c>
      <c r="E17" s="92"/>
      <c r="F17" s="162">
        <v>37.65</v>
      </c>
      <c r="G17" s="243">
        <v>37.630000000000003</v>
      </c>
      <c r="H17" s="200"/>
      <c r="I17" s="241">
        <v>-1</v>
      </c>
      <c r="J17" s="249">
        <v>0.44029058448762998</v>
      </c>
      <c r="K17" s="252"/>
      <c r="L17" s="239"/>
    </row>
    <row r="18" spans="1:12" ht="12.95" customHeight="1" x14ac:dyDescent="0.2">
      <c r="A18" s="253" t="s">
        <v>295</v>
      </c>
      <c r="B18" s="204" t="s">
        <v>20</v>
      </c>
      <c r="C18" s="205" t="s">
        <v>130</v>
      </c>
      <c r="D18" s="91">
        <v>2.5</v>
      </c>
      <c r="E18" s="92"/>
      <c r="F18" s="162">
        <v>1.2</v>
      </c>
      <c r="G18" s="243">
        <v>1.1000000000000001</v>
      </c>
      <c r="H18" s="200"/>
      <c r="I18" s="241">
        <v>-1</v>
      </c>
      <c r="J18" s="249">
        <v>0.17166089426155001</v>
      </c>
      <c r="K18" s="252"/>
    </row>
    <row r="19" spans="1:12" ht="12.95" customHeight="1" x14ac:dyDescent="0.2">
      <c r="A19" s="253" t="s">
        <v>296</v>
      </c>
      <c r="B19" s="204" t="s">
        <v>201</v>
      </c>
      <c r="C19" s="205" t="s">
        <v>131</v>
      </c>
      <c r="D19" s="91">
        <v>204.03</v>
      </c>
      <c r="E19" s="92"/>
      <c r="F19" s="162">
        <v>201.94</v>
      </c>
      <c r="G19" s="243">
        <v>201.92</v>
      </c>
      <c r="H19" s="200"/>
      <c r="I19" s="241">
        <v>-1</v>
      </c>
      <c r="J19" s="249">
        <v>0.17699891339497001</v>
      </c>
      <c r="K19" s="252"/>
    </row>
    <row r="20" spans="1:12" ht="12.95" customHeight="1" x14ac:dyDescent="0.2">
      <c r="A20" s="253" t="s">
        <v>297</v>
      </c>
      <c r="B20" s="204" t="s">
        <v>21</v>
      </c>
      <c r="C20" s="205" t="s">
        <v>131</v>
      </c>
      <c r="D20" s="91">
        <v>42.5</v>
      </c>
      <c r="E20" s="92"/>
      <c r="F20" s="162">
        <v>38.1</v>
      </c>
      <c r="G20" s="243">
        <v>38.1</v>
      </c>
      <c r="H20" s="200"/>
      <c r="I20" s="241">
        <v>0</v>
      </c>
      <c r="J20" s="249">
        <v>0.55761547342313</v>
      </c>
      <c r="K20" s="252"/>
    </row>
    <row r="21" spans="1:12" ht="12.95" customHeight="1" x14ac:dyDescent="0.2">
      <c r="A21" s="253" t="s">
        <v>298</v>
      </c>
      <c r="B21" s="204" t="s">
        <v>203</v>
      </c>
      <c r="C21" s="205" t="s">
        <v>132</v>
      </c>
      <c r="D21" s="91">
        <v>54.78</v>
      </c>
      <c r="E21" s="92"/>
      <c r="F21" s="163">
        <v>45.89</v>
      </c>
      <c r="G21" s="243">
        <v>45.83</v>
      </c>
      <c r="H21" s="200"/>
      <c r="I21" s="241">
        <v>-1</v>
      </c>
      <c r="J21" s="249">
        <v>0.52593769459672002</v>
      </c>
      <c r="K21" s="252"/>
    </row>
    <row r="22" spans="1:12" ht="12.95" customHeight="1" x14ac:dyDescent="0.2">
      <c r="A22" s="253" t="s">
        <v>299</v>
      </c>
      <c r="B22" s="204" t="s">
        <v>41</v>
      </c>
      <c r="C22" s="205" t="s">
        <v>133</v>
      </c>
      <c r="D22" s="91">
        <v>61</v>
      </c>
      <c r="E22" s="92"/>
      <c r="F22" s="162">
        <v>58.06</v>
      </c>
      <c r="G22" s="243">
        <v>58.04</v>
      </c>
      <c r="H22" s="200"/>
      <c r="I22" s="241">
        <v>-1</v>
      </c>
      <c r="J22" s="249">
        <v>0.21516648886886999</v>
      </c>
      <c r="K22" s="252"/>
    </row>
    <row r="23" spans="1:12" ht="12.95" customHeight="1" x14ac:dyDescent="0.2">
      <c r="A23" s="253" t="s">
        <v>300</v>
      </c>
      <c r="B23" s="204" t="s">
        <v>42</v>
      </c>
      <c r="C23" s="205" t="s">
        <v>204</v>
      </c>
      <c r="D23" s="91">
        <v>50.88</v>
      </c>
      <c r="E23" s="92"/>
      <c r="F23" s="162">
        <v>47.2</v>
      </c>
      <c r="G23" s="243">
        <v>47.2</v>
      </c>
      <c r="H23" s="200"/>
      <c r="I23" s="241">
        <v>0</v>
      </c>
      <c r="J23" s="249">
        <v>0.10099845484922999</v>
      </c>
      <c r="K23" s="252"/>
    </row>
    <row r="24" spans="1:12" ht="12.95" customHeight="1" x14ac:dyDescent="0.2">
      <c r="A24" s="253" t="s">
        <v>301</v>
      </c>
      <c r="B24" s="204" t="s">
        <v>63</v>
      </c>
      <c r="C24" s="205" t="s">
        <v>134</v>
      </c>
      <c r="D24" s="91">
        <v>201.5</v>
      </c>
      <c r="E24" s="92"/>
      <c r="F24" s="162">
        <v>199.56</v>
      </c>
      <c r="G24" s="243">
        <v>199.58</v>
      </c>
      <c r="H24" s="200"/>
      <c r="I24" s="241">
        <v>1</v>
      </c>
      <c r="J24" s="249">
        <v>0.57417983865877997</v>
      </c>
      <c r="K24" s="252"/>
    </row>
    <row r="25" spans="1:12" ht="12.95" customHeight="1" x14ac:dyDescent="0.2">
      <c r="A25" s="253" t="s">
        <v>333</v>
      </c>
      <c r="B25" s="204" t="s">
        <v>331</v>
      </c>
      <c r="C25" s="205" t="s">
        <v>332</v>
      </c>
      <c r="D25" s="91"/>
      <c r="E25" s="92"/>
      <c r="F25" s="162">
        <v>49.18</v>
      </c>
      <c r="G25" s="243">
        <v>49.16</v>
      </c>
      <c r="H25" s="200"/>
      <c r="I25" s="241">
        <v>-1</v>
      </c>
      <c r="J25" s="249">
        <v>0.22976397040728</v>
      </c>
      <c r="K25" s="252"/>
    </row>
    <row r="26" spans="1:12" ht="12.95" customHeight="1" x14ac:dyDescent="0.2">
      <c r="A26" s="253" t="s">
        <v>302</v>
      </c>
      <c r="B26" s="204" t="s">
        <v>65</v>
      </c>
      <c r="C26" s="205" t="s">
        <v>134</v>
      </c>
      <c r="D26" s="91">
        <v>12</v>
      </c>
      <c r="E26" s="92"/>
      <c r="F26" s="162">
        <v>5.18</v>
      </c>
      <c r="G26" s="243">
        <v>5.14</v>
      </c>
      <c r="H26" s="200"/>
      <c r="I26" s="241">
        <v>-1</v>
      </c>
      <c r="J26" s="249">
        <v>0.74799285331859999</v>
      </c>
      <c r="K26" s="252"/>
    </row>
    <row r="27" spans="1:12" ht="12.95" customHeight="1" x14ac:dyDescent="0.2">
      <c r="A27" s="253" t="s">
        <v>303</v>
      </c>
      <c r="B27" s="204" t="s">
        <v>61</v>
      </c>
      <c r="C27" s="205" t="s">
        <v>135</v>
      </c>
      <c r="D27" s="91">
        <v>184</v>
      </c>
      <c r="E27" s="92"/>
      <c r="F27" s="162">
        <v>181.36</v>
      </c>
      <c r="G27" s="243">
        <v>181.34</v>
      </c>
      <c r="H27" s="200"/>
      <c r="I27" s="241">
        <v>-1</v>
      </c>
      <c r="J27" s="249">
        <v>4.8138710482511997E-2</v>
      </c>
      <c r="K27" s="252"/>
    </row>
    <row r="28" spans="1:12" ht="12.95" customHeight="1" x14ac:dyDescent="0.2">
      <c r="A28" s="253" t="s">
        <v>304</v>
      </c>
      <c r="B28" s="204" t="s">
        <v>48</v>
      </c>
      <c r="C28" s="205" t="s">
        <v>135</v>
      </c>
      <c r="D28" s="91">
        <v>89</v>
      </c>
      <c r="E28" s="92"/>
      <c r="F28" s="162">
        <v>84.87</v>
      </c>
      <c r="G28" s="243">
        <v>84.82</v>
      </c>
      <c r="H28" s="200"/>
      <c r="I28" s="241">
        <v>-1</v>
      </c>
      <c r="J28" s="249">
        <v>0.26125091899153002</v>
      </c>
      <c r="K28" s="252"/>
    </row>
    <row r="29" spans="1:12" ht="12.95" customHeight="1" x14ac:dyDescent="0.2">
      <c r="A29" s="253" t="s">
        <v>305</v>
      </c>
      <c r="B29" s="204" t="s">
        <v>110</v>
      </c>
      <c r="C29" s="205" t="s">
        <v>135</v>
      </c>
      <c r="D29" s="91">
        <v>11.84</v>
      </c>
      <c r="E29" s="92"/>
      <c r="F29" s="162">
        <v>4.68</v>
      </c>
      <c r="G29" s="243">
        <v>4.58</v>
      </c>
      <c r="H29" s="200"/>
      <c r="I29" s="241">
        <v>-1</v>
      </c>
      <c r="J29" s="249">
        <v>0.24022700769429001</v>
      </c>
      <c r="K29" s="252"/>
    </row>
    <row r="30" spans="1:12" ht="12.95" customHeight="1" x14ac:dyDescent="0.2">
      <c r="A30" s="253" t="s">
        <v>306</v>
      </c>
      <c r="B30" s="204" t="s">
        <v>70</v>
      </c>
      <c r="C30" s="205" t="s">
        <v>234</v>
      </c>
      <c r="D30" s="91">
        <v>6.15</v>
      </c>
      <c r="E30" s="92"/>
      <c r="F30" s="162">
        <v>1.88</v>
      </c>
      <c r="G30" s="243">
        <v>1.72</v>
      </c>
      <c r="H30" s="200"/>
      <c r="I30" s="241">
        <v>-1</v>
      </c>
      <c r="J30" s="249">
        <v>1.0116916599161001</v>
      </c>
      <c r="K30" s="252"/>
    </row>
    <row r="31" spans="1:12" ht="12.95" customHeight="1" x14ac:dyDescent="0.2">
      <c r="A31" s="253" t="s">
        <v>307</v>
      </c>
      <c r="B31" s="204" t="s">
        <v>71</v>
      </c>
      <c r="C31" s="205" t="s">
        <v>136</v>
      </c>
      <c r="D31" s="91">
        <v>6.7</v>
      </c>
      <c r="E31" s="91"/>
      <c r="F31" s="162">
        <v>2.06</v>
      </c>
      <c r="G31" s="243">
        <v>1.84</v>
      </c>
      <c r="H31" s="200"/>
      <c r="I31" s="241">
        <v>-1</v>
      </c>
      <c r="J31" s="249">
        <v>1.1175152198406999</v>
      </c>
      <c r="K31" s="252"/>
    </row>
    <row r="32" spans="1:12" ht="12.95" customHeight="1" x14ac:dyDescent="0.2">
      <c r="A32" s="253" t="s">
        <v>308</v>
      </c>
      <c r="B32" s="204" t="s">
        <v>77</v>
      </c>
      <c r="C32" s="205" t="s">
        <v>137</v>
      </c>
      <c r="D32" s="91">
        <v>40</v>
      </c>
      <c r="E32" s="91">
        <v>1526</v>
      </c>
      <c r="F32" s="162">
        <v>35.08</v>
      </c>
      <c r="G32" s="243">
        <v>34.92</v>
      </c>
      <c r="H32" s="200"/>
      <c r="I32" s="241">
        <v>-1</v>
      </c>
      <c r="J32" s="249">
        <v>1.1584954833576999</v>
      </c>
      <c r="K32" s="252"/>
    </row>
    <row r="33" spans="1:11" ht="12.95" customHeight="1" x14ac:dyDescent="0.2">
      <c r="A33" s="253" t="s">
        <v>309</v>
      </c>
      <c r="B33" s="204" t="s">
        <v>79</v>
      </c>
      <c r="C33" s="205" t="s">
        <v>138</v>
      </c>
      <c r="D33" s="91">
        <v>12.25</v>
      </c>
      <c r="E33" s="91">
        <v>3320</v>
      </c>
      <c r="F33" s="162">
        <v>7.04</v>
      </c>
      <c r="G33" s="243">
        <v>7.02</v>
      </c>
      <c r="H33" s="200"/>
      <c r="I33" s="241">
        <v>-1</v>
      </c>
      <c r="J33" s="249">
        <v>0.49566476081777</v>
      </c>
      <c r="K33" s="252"/>
    </row>
    <row r="34" spans="1:11" ht="12.95" customHeight="1" x14ac:dyDescent="0.2">
      <c r="A34" s="253" t="s">
        <v>310</v>
      </c>
      <c r="B34" s="204" t="s">
        <v>88</v>
      </c>
      <c r="C34" s="205" t="s">
        <v>138</v>
      </c>
      <c r="D34" s="91">
        <v>6.74</v>
      </c>
      <c r="E34" s="91">
        <v>2318</v>
      </c>
      <c r="F34" s="162">
        <v>4.3</v>
      </c>
      <c r="G34" s="243">
        <v>4.26</v>
      </c>
      <c r="H34" s="200"/>
      <c r="I34" s="241">
        <v>-1</v>
      </c>
      <c r="J34" s="249">
        <v>0.44177025428427003</v>
      </c>
      <c r="K34" s="252"/>
    </row>
    <row r="35" spans="1:11" ht="12.95" customHeight="1" x14ac:dyDescent="0.2">
      <c r="A35" s="253" t="s">
        <v>311</v>
      </c>
      <c r="B35" s="204" t="s">
        <v>122</v>
      </c>
      <c r="C35" s="205" t="s">
        <v>139</v>
      </c>
      <c r="D35" s="91">
        <v>42</v>
      </c>
      <c r="E35" s="91"/>
      <c r="F35" s="162">
        <v>38.57</v>
      </c>
      <c r="G35" s="243">
        <v>38.630000000000003</v>
      </c>
      <c r="H35" s="200"/>
      <c r="I35" s="241">
        <v>1</v>
      </c>
      <c r="J35" s="249">
        <v>0.79767204655819002</v>
      </c>
      <c r="K35" s="252"/>
    </row>
    <row r="36" spans="1:11" ht="12.95" customHeight="1" x14ac:dyDescent="0.2">
      <c r="A36" s="253" t="s">
        <v>312</v>
      </c>
      <c r="B36" s="204" t="s">
        <v>81</v>
      </c>
      <c r="C36" s="205" t="s">
        <v>139</v>
      </c>
      <c r="D36" s="91">
        <v>16.7</v>
      </c>
      <c r="E36" s="91"/>
      <c r="F36" s="162">
        <v>13.96</v>
      </c>
      <c r="G36" s="243">
        <v>13.52</v>
      </c>
      <c r="H36" s="200"/>
      <c r="I36" s="241">
        <v>-1</v>
      </c>
      <c r="J36" s="249">
        <v>0.64256803400069995</v>
      </c>
      <c r="K36" s="252"/>
    </row>
    <row r="37" spans="1:11" ht="12.95" customHeight="1" x14ac:dyDescent="0.2">
      <c r="A37" s="253"/>
      <c r="B37" s="204" t="s">
        <v>123</v>
      </c>
      <c r="C37" s="205" t="s">
        <v>139</v>
      </c>
      <c r="D37" s="92">
        <v>15.03</v>
      </c>
      <c r="E37" s="91"/>
      <c r="F37" s="161"/>
      <c r="G37" s="245"/>
      <c r="H37" s="200"/>
      <c r="I37" s="241"/>
      <c r="J37" s="250"/>
      <c r="K37" s="252"/>
    </row>
    <row r="38" spans="1:11" ht="12.95" customHeight="1" x14ac:dyDescent="0.2">
      <c r="A38" s="253" t="s">
        <v>313</v>
      </c>
      <c r="B38" s="204" t="s">
        <v>82</v>
      </c>
      <c r="C38" s="205" t="s">
        <v>139</v>
      </c>
      <c r="D38" s="91">
        <v>10.59</v>
      </c>
      <c r="E38" s="91">
        <v>599</v>
      </c>
      <c r="F38" s="163">
        <v>10.28</v>
      </c>
      <c r="G38" s="243">
        <v>9.9600000000000009</v>
      </c>
      <c r="H38" s="200"/>
      <c r="I38" s="241">
        <v>1</v>
      </c>
      <c r="J38" s="249">
        <v>0.62030736567974998</v>
      </c>
      <c r="K38" s="252"/>
    </row>
    <row r="39" spans="1:11" ht="12.95" customHeight="1" x14ac:dyDescent="0.2">
      <c r="A39" s="253" t="s">
        <v>314</v>
      </c>
      <c r="B39" s="204" t="s">
        <v>124</v>
      </c>
      <c r="C39" s="205" t="s">
        <v>140</v>
      </c>
      <c r="D39" s="91"/>
      <c r="E39" s="91"/>
      <c r="F39" s="161"/>
      <c r="G39" s="245"/>
      <c r="H39" s="200"/>
      <c r="I39" s="241"/>
      <c r="J39" s="250"/>
      <c r="K39" s="252"/>
    </row>
    <row r="40" spans="1:11" ht="12.95" customHeight="1" x14ac:dyDescent="0.2">
      <c r="A40" s="253" t="s">
        <v>315</v>
      </c>
      <c r="B40" s="204" t="s">
        <v>83</v>
      </c>
      <c r="C40" s="205" t="s">
        <v>141</v>
      </c>
      <c r="D40" s="91"/>
      <c r="E40" s="91"/>
      <c r="F40" s="163">
        <v>132.06</v>
      </c>
      <c r="G40" s="243">
        <v>132.03</v>
      </c>
      <c r="H40" s="200"/>
      <c r="I40" s="241">
        <v>-1</v>
      </c>
      <c r="J40" s="249">
        <v>0.76459278887943005</v>
      </c>
      <c r="K40" s="252"/>
    </row>
    <row r="41" spans="1:11" ht="12.95" customHeight="1" x14ac:dyDescent="0.2">
      <c r="A41" s="253" t="s">
        <v>316</v>
      </c>
      <c r="B41" s="204" t="s">
        <v>111</v>
      </c>
      <c r="C41" s="205" t="s">
        <v>142</v>
      </c>
      <c r="D41" s="91">
        <v>21.6</v>
      </c>
      <c r="E41" s="91">
        <v>1167</v>
      </c>
      <c r="F41" s="163">
        <v>18.600000000000001</v>
      </c>
      <c r="G41" s="243">
        <v>18.48</v>
      </c>
      <c r="H41" s="200"/>
      <c r="I41" s="241">
        <v>-1</v>
      </c>
      <c r="J41" s="249">
        <v>0.93592999814822997</v>
      </c>
      <c r="K41" s="252"/>
    </row>
    <row r="42" spans="1:11" ht="12.95" customHeight="1" x14ac:dyDescent="0.2">
      <c r="A42" s="253" t="s">
        <v>317</v>
      </c>
      <c r="B42" s="204" t="s">
        <v>86</v>
      </c>
      <c r="C42" s="205" t="s">
        <v>142</v>
      </c>
      <c r="D42" s="91">
        <v>14.1</v>
      </c>
      <c r="E42" s="91"/>
      <c r="F42" s="162">
        <v>13.29</v>
      </c>
      <c r="G42" s="243">
        <v>12.89</v>
      </c>
      <c r="H42" s="200"/>
      <c r="I42" s="241">
        <v>-1</v>
      </c>
      <c r="J42" s="249">
        <v>0.74070483633650996</v>
      </c>
      <c r="K42" s="252"/>
    </row>
    <row r="43" spans="1:11" ht="12.95" customHeight="1" x14ac:dyDescent="0.2">
      <c r="A43" s="253" t="s">
        <v>318</v>
      </c>
      <c r="B43" s="204" t="s">
        <v>87</v>
      </c>
      <c r="C43" s="205" t="s">
        <v>142</v>
      </c>
      <c r="D43" s="91">
        <v>9.75</v>
      </c>
      <c r="E43" s="91"/>
      <c r="F43" s="162">
        <v>9.34</v>
      </c>
      <c r="G43" s="408">
        <v>9.32</v>
      </c>
      <c r="H43" s="200"/>
      <c r="I43" s="241">
        <v>-1</v>
      </c>
      <c r="J43" s="249">
        <v>0.59085707824318001</v>
      </c>
      <c r="K43" s="252"/>
    </row>
    <row r="44" spans="1:11" ht="12.95" customHeight="1" x14ac:dyDescent="0.2">
      <c r="A44" s="253" t="s">
        <v>319</v>
      </c>
      <c r="B44" s="204" t="s">
        <v>85</v>
      </c>
      <c r="C44" s="205" t="s">
        <v>143</v>
      </c>
      <c r="D44" s="91">
        <v>15.07</v>
      </c>
      <c r="E44" s="91"/>
      <c r="F44" s="162">
        <v>9.1199999999999992</v>
      </c>
      <c r="G44" s="243">
        <v>9.08</v>
      </c>
      <c r="H44" s="200"/>
      <c r="I44" s="241">
        <v>-1</v>
      </c>
      <c r="J44" s="249">
        <v>0.63644644717890997</v>
      </c>
      <c r="K44" s="252"/>
    </row>
    <row r="45" spans="1:11" ht="12.95" customHeight="1" x14ac:dyDescent="0.2">
      <c r="A45" s="253" t="s">
        <v>320</v>
      </c>
      <c r="B45" s="204" t="s">
        <v>125</v>
      </c>
      <c r="C45" s="205" t="s">
        <v>144</v>
      </c>
      <c r="D45" s="91"/>
      <c r="E45" s="91"/>
      <c r="F45" s="163"/>
      <c r="G45" s="243"/>
      <c r="H45" s="200"/>
      <c r="I45" s="241"/>
      <c r="J45" s="249"/>
      <c r="K45" s="252"/>
    </row>
    <row r="46" spans="1:11" ht="12.95" customHeight="1" x14ac:dyDescent="0.2">
      <c r="A46" s="253" t="s">
        <v>321</v>
      </c>
      <c r="B46" s="204" t="s">
        <v>90</v>
      </c>
      <c r="C46" s="205" t="s">
        <v>235</v>
      </c>
      <c r="D46" s="91">
        <v>19.170000000000002</v>
      </c>
      <c r="E46" s="91"/>
      <c r="F46" s="163">
        <v>14.42</v>
      </c>
      <c r="G46" s="243">
        <v>14.41</v>
      </c>
      <c r="H46" s="200"/>
      <c r="I46" s="241">
        <v>-1</v>
      </c>
      <c r="J46" s="249">
        <v>0.36632245090824</v>
      </c>
      <c r="K46" s="252"/>
    </row>
    <row r="47" spans="1:11" ht="12.95" customHeight="1" x14ac:dyDescent="0.2">
      <c r="A47" s="253" t="s">
        <v>322</v>
      </c>
      <c r="B47" s="204" t="s">
        <v>126</v>
      </c>
      <c r="C47" s="205" t="s">
        <v>138</v>
      </c>
      <c r="D47" s="91">
        <v>1.9</v>
      </c>
      <c r="E47" s="91"/>
      <c r="F47" s="163">
        <v>1.54</v>
      </c>
      <c r="G47" s="243">
        <v>1.53</v>
      </c>
      <c r="H47" s="200"/>
      <c r="I47" s="241">
        <v>-1</v>
      </c>
      <c r="J47" s="249">
        <v>0.12320532276379</v>
      </c>
      <c r="K47" s="252"/>
    </row>
    <row r="48" spans="1:11" ht="12.95" customHeight="1" x14ac:dyDescent="0.2">
      <c r="A48" s="253" t="s">
        <v>323</v>
      </c>
      <c r="B48" s="204" t="s">
        <v>96</v>
      </c>
      <c r="C48" s="205" t="s">
        <v>147</v>
      </c>
      <c r="D48" s="91">
        <v>10.16</v>
      </c>
      <c r="E48" s="91"/>
      <c r="F48" s="163">
        <v>0.57999999999999996</v>
      </c>
      <c r="G48" s="243">
        <v>0.57999999999999996</v>
      </c>
      <c r="H48" s="200"/>
      <c r="I48" s="241">
        <v>0</v>
      </c>
      <c r="J48" s="249">
        <v>0.22366102981807001</v>
      </c>
      <c r="K48" s="252"/>
    </row>
    <row r="49" spans="1:11" ht="12.95" customHeight="1" x14ac:dyDescent="0.2">
      <c r="A49" s="253" t="s">
        <v>324</v>
      </c>
      <c r="B49" s="204" t="s">
        <v>93</v>
      </c>
      <c r="C49" s="205" t="s">
        <v>145</v>
      </c>
      <c r="D49" s="91">
        <v>8</v>
      </c>
      <c r="E49" s="91"/>
      <c r="F49" s="163">
        <v>2.25</v>
      </c>
      <c r="G49" s="243">
        <v>2.2200000000000002</v>
      </c>
      <c r="H49" s="200"/>
      <c r="I49" s="241">
        <v>-1</v>
      </c>
      <c r="J49" s="249">
        <v>0.74683335013442997</v>
      </c>
      <c r="K49" s="252"/>
    </row>
    <row r="50" spans="1:11" ht="12.95" customHeight="1" x14ac:dyDescent="0.2">
      <c r="A50" s="253" t="s">
        <v>325</v>
      </c>
      <c r="B50" s="204" t="s">
        <v>94</v>
      </c>
      <c r="C50" s="205" t="s">
        <v>121</v>
      </c>
      <c r="D50" s="91">
        <v>8.5399999999999991</v>
      </c>
      <c r="E50" s="91">
        <v>2254.8000000000002</v>
      </c>
      <c r="F50" s="163">
        <v>4.42</v>
      </c>
      <c r="G50" s="243">
        <v>4.34</v>
      </c>
      <c r="H50" s="200"/>
      <c r="I50" s="241">
        <v>-1</v>
      </c>
      <c r="J50" s="249">
        <v>0.64161575205050003</v>
      </c>
      <c r="K50" s="252"/>
    </row>
    <row r="51" spans="1:11" ht="12.95" customHeight="1" x14ac:dyDescent="0.2">
      <c r="A51" s="253" t="s">
        <v>326</v>
      </c>
      <c r="B51" s="204" t="s">
        <v>97</v>
      </c>
      <c r="C51" s="205" t="s">
        <v>121</v>
      </c>
      <c r="D51" s="91">
        <v>5.0999999999999996</v>
      </c>
      <c r="E51" s="91"/>
      <c r="F51" s="161"/>
      <c r="G51" s="245"/>
      <c r="H51" s="200"/>
      <c r="I51" s="241"/>
      <c r="J51" s="250"/>
      <c r="K51" s="252"/>
    </row>
    <row r="52" spans="1:11" ht="12.95" customHeight="1" x14ac:dyDescent="0.2">
      <c r="A52" s="253" t="s">
        <v>327</v>
      </c>
      <c r="B52" s="204" t="s">
        <v>95</v>
      </c>
      <c r="C52" s="205" t="s">
        <v>146</v>
      </c>
      <c r="D52" s="91">
        <v>11</v>
      </c>
      <c r="E52" s="91"/>
      <c r="F52" s="163">
        <v>6</v>
      </c>
      <c r="G52" s="243">
        <v>5.9</v>
      </c>
      <c r="H52" s="200"/>
      <c r="I52" s="241">
        <v>-1</v>
      </c>
      <c r="J52" s="249">
        <v>0.81800660019764004</v>
      </c>
      <c r="K52" s="252"/>
    </row>
    <row r="53" spans="1:11" ht="12.95" customHeight="1" x14ac:dyDescent="0.2">
      <c r="A53" s="253" t="s">
        <v>328</v>
      </c>
      <c r="B53" s="204" t="s">
        <v>98</v>
      </c>
      <c r="C53" s="205" t="s">
        <v>121</v>
      </c>
      <c r="D53" s="91">
        <v>1.5</v>
      </c>
      <c r="E53" s="91"/>
      <c r="F53" s="162"/>
      <c r="G53" s="243"/>
      <c r="H53" s="200"/>
      <c r="I53" s="241"/>
      <c r="J53" s="249">
        <v>0.16012750147365001</v>
      </c>
      <c r="K53" s="252"/>
    </row>
    <row r="54" spans="1:11" ht="12.95" customHeight="1" x14ac:dyDescent="0.2">
      <c r="A54" s="253" t="s">
        <v>329</v>
      </c>
      <c r="B54" s="206" t="s">
        <v>127</v>
      </c>
      <c r="C54" s="205" t="s">
        <v>121</v>
      </c>
      <c r="D54" s="91">
        <v>4.71</v>
      </c>
      <c r="E54" s="91"/>
      <c r="F54" s="163">
        <v>3.66</v>
      </c>
      <c r="G54" s="243">
        <v>3.62</v>
      </c>
      <c r="H54" s="200"/>
      <c r="I54" s="241">
        <v>-1</v>
      </c>
      <c r="J54" s="249">
        <v>0.13767507010119001</v>
      </c>
      <c r="K54" s="252"/>
    </row>
    <row r="55" spans="1:11" ht="12.95" customHeight="1" thickBot="1" x14ac:dyDescent="0.25">
      <c r="A55" s="253" t="s">
        <v>330</v>
      </c>
      <c r="B55" s="207" t="s">
        <v>206</v>
      </c>
      <c r="C55" s="208" t="s">
        <v>236</v>
      </c>
      <c r="D55" s="93">
        <v>6.32</v>
      </c>
      <c r="E55" s="94"/>
      <c r="F55" s="164">
        <v>2.2999999999999998</v>
      </c>
      <c r="G55" s="244"/>
      <c r="H55" s="201"/>
      <c r="I55" s="241"/>
      <c r="J55" s="251">
        <v>0.15338259985764</v>
      </c>
      <c r="K55" s="252"/>
    </row>
    <row r="56" spans="1:11" ht="13.5" thickTop="1" x14ac:dyDescent="0.2">
      <c r="A56" s="253"/>
      <c r="B56" s="95"/>
      <c r="C56" s="95"/>
      <c r="D56" s="95"/>
      <c r="E56" s="95"/>
      <c r="F56" s="95"/>
      <c r="G56" s="95"/>
      <c r="H56" s="95"/>
      <c r="I56" s="95"/>
      <c r="J56" s="95"/>
    </row>
  </sheetData>
  <dataConsolidate/>
  <mergeCells count="7">
    <mergeCell ref="B1:H1"/>
    <mergeCell ref="J7:J9"/>
    <mergeCell ref="L2:M2"/>
    <mergeCell ref="O2:P2"/>
    <mergeCell ref="B3:H3"/>
    <mergeCell ref="B5:H5"/>
    <mergeCell ref="B2:H2"/>
  </mergeCells>
  <phoneticPr fontId="0" type="noConversion"/>
  <conditionalFormatting sqref="I17:I55">
    <cfRule type="iconSet" priority="2">
      <iconSet iconSet="3Arrows" showValue="0">
        <cfvo type="percent" val="0"/>
        <cfvo type="num" val="0"/>
        <cfvo type="num" val="0" gte="0"/>
      </iconSet>
    </cfRule>
  </conditionalFormatting>
  <conditionalFormatting sqref="M3:M5">
    <cfRule type="iconSet" priority="1">
      <iconSet iconSet="3Arrows" showValue="0">
        <cfvo type="percent" val="0"/>
        <cfvo type="num" val="0"/>
        <cfvo type="num" val="0" gte="0"/>
      </iconSet>
    </cfRule>
  </conditionalFormatting>
  <printOptions horizontalCentered="1" verticalCentered="1"/>
  <pageMargins left="0.19685039370078741" right="0.19685039370078741" top="0.39370078740157483" bottom="0.39370078740157483" header="0" footer="0"/>
  <pageSetup scale="74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btnCapturar">
          <controlPr disabled="1" autoLine="0" r:id="rId5">
            <anchor moveWithCells="1">
              <from>
                <xdr:col>6</xdr:col>
                <xdr:colOff>371475</xdr:colOff>
                <xdr:row>0</xdr:row>
                <xdr:rowOff>114300</xdr:rowOff>
              </from>
              <to>
                <xdr:col>7</xdr:col>
                <xdr:colOff>571500</xdr:colOff>
                <xdr:row>2</xdr:row>
                <xdr:rowOff>104775</xdr:rowOff>
              </to>
            </anchor>
          </controlPr>
        </control>
      </mc:Choice>
      <mc:Fallback>
        <control shapeId="2049" r:id="rId4" name="btnCapturar"/>
      </mc:Fallback>
    </mc:AlternateContent>
    <mc:AlternateContent xmlns:mc="http://schemas.openxmlformats.org/markup-compatibility/2006">
      <mc:Choice Requires="x14">
        <control shapeId="2050" r:id="rId6" name="btnActualizar">
          <controlPr autoLine="0" r:id="rId7">
            <anchor moveWithCells="1">
              <from>
                <xdr:col>6</xdr:col>
                <xdr:colOff>361950</xdr:colOff>
                <xdr:row>2</xdr:row>
                <xdr:rowOff>123825</xdr:rowOff>
              </from>
              <to>
                <xdr:col>7</xdr:col>
                <xdr:colOff>571500</xdr:colOff>
                <xdr:row>4</xdr:row>
                <xdr:rowOff>123825</xdr:rowOff>
              </to>
            </anchor>
          </controlPr>
        </control>
      </mc:Choice>
      <mc:Fallback>
        <control shapeId="2050" r:id="rId6" name="btnActualiz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O68"/>
  <sheetViews>
    <sheetView zoomScaleNormal="100" zoomScaleSheetLayoutView="85" workbookViewId="0">
      <pane xSplit="6" ySplit="7" topLeftCell="G8" activePane="bottomRight" state="frozen"/>
      <selection pane="topRight" activeCell="G1" sqref="G1"/>
      <selection pane="bottomLeft" activeCell="A8" sqref="A8"/>
      <selection pane="bottomRight" activeCell="G8" sqref="G8"/>
    </sheetView>
  </sheetViews>
  <sheetFormatPr baseColWidth="10" defaultRowHeight="12.75" x14ac:dyDescent="0.2"/>
  <cols>
    <col min="1" max="1" width="4.7109375" style="239" customWidth="1"/>
    <col min="2" max="2" width="22.7109375" customWidth="1"/>
    <col min="3" max="3" width="7" customWidth="1"/>
    <col min="4" max="4" width="16.42578125" customWidth="1"/>
    <col min="5" max="5" width="10.7109375" customWidth="1"/>
    <col min="6" max="6" width="6.5703125" customWidth="1"/>
    <col min="7" max="11" width="9.7109375" customWidth="1"/>
  </cols>
  <sheetData>
    <row r="1" spans="1:13" x14ac:dyDescent="0.2">
      <c r="A1" s="213"/>
      <c r="B1" s="340" t="s">
        <v>190</v>
      </c>
      <c r="C1" s="340"/>
      <c r="D1" s="340"/>
      <c r="E1" s="340"/>
      <c r="F1" s="340"/>
      <c r="G1" s="340"/>
      <c r="H1" s="340"/>
      <c r="I1" s="340"/>
      <c r="J1" s="340"/>
      <c r="K1" s="340"/>
      <c r="L1" s="95"/>
      <c r="M1" s="95"/>
    </row>
    <row r="2" spans="1:13" x14ac:dyDescent="0.2">
      <c r="A2" s="213"/>
      <c r="B2" s="340" t="s">
        <v>189</v>
      </c>
      <c r="C2" s="340"/>
      <c r="D2" s="340"/>
      <c r="E2" s="340"/>
      <c r="F2" s="340"/>
      <c r="G2" s="340"/>
      <c r="H2" s="340"/>
      <c r="I2" s="340"/>
      <c r="J2" s="340"/>
      <c r="K2" s="340"/>
      <c r="L2" s="95"/>
      <c r="M2" s="95"/>
    </row>
    <row r="3" spans="1:13" x14ac:dyDescent="0.2">
      <c r="A3" s="213"/>
      <c r="B3" s="340" t="s">
        <v>191</v>
      </c>
      <c r="C3" s="340"/>
      <c r="D3" s="340"/>
      <c r="E3" s="340"/>
      <c r="F3" s="340"/>
      <c r="G3" s="340"/>
      <c r="H3" s="340"/>
      <c r="I3" s="340"/>
      <c r="J3" s="340"/>
      <c r="K3" s="340"/>
      <c r="L3" s="95"/>
      <c r="M3" s="95"/>
    </row>
    <row r="4" spans="1:13" x14ac:dyDescent="0.2">
      <c r="A4" s="213"/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95"/>
      <c r="M4" s="95"/>
    </row>
    <row r="5" spans="1:13" ht="12.75" customHeight="1" x14ac:dyDescent="0.2">
      <c r="A5" s="213"/>
      <c r="B5" s="400" t="s">
        <v>473</v>
      </c>
      <c r="C5" s="401"/>
      <c r="D5" s="401"/>
      <c r="E5" s="401"/>
      <c r="F5" s="401"/>
      <c r="G5" s="401"/>
      <c r="H5" s="401"/>
      <c r="I5" s="401"/>
      <c r="J5" s="401"/>
      <c r="K5" s="402"/>
      <c r="L5" s="95"/>
      <c r="M5" s="95"/>
    </row>
    <row r="6" spans="1:13" ht="12.75" customHeight="1" thickBot="1" x14ac:dyDescent="0.25">
      <c r="A6" s="213"/>
      <c r="B6" s="209"/>
      <c r="C6" s="209"/>
      <c r="D6" s="209"/>
      <c r="E6" s="209"/>
      <c r="F6" s="209"/>
      <c r="G6" s="209"/>
      <c r="H6" s="209"/>
      <c r="I6" s="209"/>
      <c r="J6" s="209"/>
      <c r="K6" s="209"/>
      <c r="L6" s="95"/>
      <c r="M6" s="95"/>
    </row>
    <row r="7" spans="1:13" ht="12.75" customHeight="1" thickTop="1" x14ac:dyDescent="0.2">
      <c r="A7" s="110" t="s">
        <v>293</v>
      </c>
      <c r="B7" s="210" t="s">
        <v>192</v>
      </c>
      <c r="C7" s="157" t="s">
        <v>2</v>
      </c>
      <c r="D7" s="157" t="s">
        <v>3</v>
      </c>
      <c r="E7" s="157" t="s">
        <v>193</v>
      </c>
      <c r="F7" s="157" t="s">
        <v>5</v>
      </c>
      <c r="G7" s="157" t="s">
        <v>6</v>
      </c>
      <c r="H7" s="157" t="s">
        <v>7</v>
      </c>
      <c r="I7" s="157" t="s">
        <v>194</v>
      </c>
      <c r="J7" s="157" t="s">
        <v>9</v>
      </c>
      <c r="K7" s="158" t="s">
        <v>10</v>
      </c>
      <c r="L7" s="95"/>
      <c r="M7" s="95"/>
    </row>
    <row r="8" spans="1:13" ht="12.75" customHeight="1" x14ac:dyDescent="0.2">
      <c r="A8" s="213" t="s">
        <v>334</v>
      </c>
      <c r="B8" s="132" t="s">
        <v>202</v>
      </c>
      <c r="C8" s="211" t="s">
        <v>55</v>
      </c>
      <c r="D8" s="211" t="s">
        <v>20</v>
      </c>
      <c r="E8" s="235"/>
      <c r="F8" s="235"/>
      <c r="G8" s="225">
        <v>3</v>
      </c>
      <c r="H8" s="225">
        <v>13</v>
      </c>
      <c r="I8" s="225">
        <v>20</v>
      </c>
      <c r="J8" s="225">
        <v>12</v>
      </c>
      <c r="K8" s="228">
        <v>2</v>
      </c>
      <c r="L8" s="95"/>
      <c r="M8" s="95"/>
    </row>
    <row r="9" spans="1:13" ht="12.75" customHeight="1" x14ac:dyDescent="0.2">
      <c r="A9" s="213" t="s">
        <v>374</v>
      </c>
      <c r="B9" s="212" t="s">
        <v>256</v>
      </c>
      <c r="C9" s="211" t="s">
        <v>56</v>
      </c>
      <c r="D9" s="10" t="s">
        <v>20</v>
      </c>
      <c r="E9" s="235"/>
      <c r="F9" s="235"/>
      <c r="G9" s="225">
        <v>0</v>
      </c>
      <c r="H9" s="225">
        <v>23</v>
      </c>
      <c r="I9" s="225">
        <v>26</v>
      </c>
      <c r="J9" s="225">
        <v>22</v>
      </c>
      <c r="K9" s="168"/>
      <c r="L9" s="95"/>
      <c r="M9" s="95"/>
    </row>
    <row r="10" spans="1:13" ht="12.75" customHeight="1" x14ac:dyDescent="0.2">
      <c r="A10" s="213" t="s">
        <v>375</v>
      </c>
      <c r="B10" s="212" t="s">
        <v>257</v>
      </c>
      <c r="C10" s="10" t="s">
        <v>56</v>
      </c>
      <c r="D10" s="10" t="s">
        <v>20</v>
      </c>
      <c r="E10" s="235"/>
      <c r="F10" s="235"/>
      <c r="G10" s="225">
        <v>0</v>
      </c>
      <c r="H10" s="225">
        <v>24</v>
      </c>
      <c r="I10" s="225">
        <v>31</v>
      </c>
      <c r="J10" s="225">
        <v>22</v>
      </c>
      <c r="K10" s="228">
        <v>1.62</v>
      </c>
      <c r="L10" s="95"/>
      <c r="M10" s="95"/>
    </row>
    <row r="11" spans="1:13" ht="12.75" customHeight="1" x14ac:dyDescent="0.2">
      <c r="A11" s="213" t="s">
        <v>376</v>
      </c>
      <c r="B11" s="212" t="s">
        <v>258</v>
      </c>
      <c r="C11" s="10" t="s">
        <v>56</v>
      </c>
      <c r="D11" s="10" t="s">
        <v>20</v>
      </c>
      <c r="E11" s="235"/>
      <c r="F11" s="235"/>
      <c r="G11" s="167"/>
      <c r="H11" s="167"/>
      <c r="I11" s="167"/>
      <c r="J11" s="167"/>
      <c r="K11" s="168"/>
      <c r="L11" s="95"/>
      <c r="M11" s="95"/>
    </row>
    <row r="12" spans="1:13" ht="12.75" customHeight="1" x14ac:dyDescent="0.2">
      <c r="A12" s="213" t="s">
        <v>276</v>
      </c>
      <c r="B12" s="132" t="s">
        <v>238</v>
      </c>
      <c r="C12" s="211" t="s">
        <v>55</v>
      </c>
      <c r="D12" s="211" t="s">
        <v>20</v>
      </c>
      <c r="E12" s="235"/>
      <c r="F12" s="235"/>
      <c r="G12" s="225">
        <v>0</v>
      </c>
      <c r="H12" s="167"/>
      <c r="I12" s="167"/>
      <c r="J12" s="167"/>
      <c r="K12" s="168"/>
      <c r="L12" s="95"/>
      <c r="M12" s="95"/>
    </row>
    <row r="13" spans="1:13" ht="12.75" customHeight="1" x14ac:dyDescent="0.2">
      <c r="A13" s="213" t="s">
        <v>294</v>
      </c>
      <c r="B13" s="132" t="s">
        <v>19</v>
      </c>
      <c r="C13" s="211" t="s">
        <v>55</v>
      </c>
      <c r="D13" s="211" t="s">
        <v>20</v>
      </c>
      <c r="E13" s="235"/>
      <c r="F13" s="235"/>
      <c r="G13" s="225">
        <v>0</v>
      </c>
      <c r="H13" s="225">
        <v>23</v>
      </c>
      <c r="I13" s="225">
        <v>32.5</v>
      </c>
      <c r="J13" s="225">
        <v>21.5</v>
      </c>
      <c r="K13" s="228">
        <v>4.46</v>
      </c>
      <c r="L13" s="95"/>
      <c r="M13" s="95"/>
    </row>
    <row r="14" spans="1:13" ht="12.75" customHeight="1" x14ac:dyDescent="0.2">
      <c r="A14" s="213" t="s">
        <v>335</v>
      </c>
      <c r="B14" s="132" t="s">
        <v>237</v>
      </c>
      <c r="C14" s="211" t="s">
        <v>55</v>
      </c>
      <c r="D14" s="211" t="s">
        <v>20</v>
      </c>
      <c r="E14" s="235"/>
      <c r="F14" s="235"/>
      <c r="G14" s="225">
        <v>0</v>
      </c>
      <c r="H14" s="225">
        <v>24</v>
      </c>
      <c r="I14" s="225">
        <v>32</v>
      </c>
      <c r="J14" s="225">
        <v>22</v>
      </c>
      <c r="K14" s="228">
        <v>4</v>
      </c>
      <c r="L14" s="95"/>
      <c r="M14" s="95"/>
    </row>
    <row r="15" spans="1:13" ht="12.75" customHeight="1" x14ac:dyDescent="0.2">
      <c r="A15" s="213" t="s">
        <v>295</v>
      </c>
      <c r="B15" s="180" t="s">
        <v>20</v>
      </c>
      <c r="C15" s="181" t="s">
        <v>55</v>
      </c>
      <c r="D15" s="181" t="s">
        <v>20</v>
      </c>
      <c r="E15" s="225">
        <v>1014.6</v>
      </c>
      <c r="F15" s="231">
        <v>97</v>
      </c>
      <c r="G15" s="225">
        <v>0</v>
      </c>
      <c r="H15" s="225">
        <v>25</v>
      </c>
      <c r="I15" s="225">
        <v>33.6</v>
      </c>
      <c r="J15" s="225">
        <v>24.6</v>
      </c>
      <c r="K15" s="228">
        <v>4.22</v>
      </c>
      <c r="L15" s="95"/>
      <c r="M15" s="95"/>
    </row>
    <row r="16" spans="1:13" ht="12.75" customHeight="1" x14ac:dyDescent="0.2">
      <c r="A16" s="213" t="s">
        <v>336</v>
      </c>
      <c r="B16" s="132" t="s">
        <v>23</v>
      </c>
      <c r="C16" s="10" t="s">
        <v>56</v>
      </c>
      <c r="D16" s="211" t="s">
        <v>57</v>
      </c>
      <c r="E16" s="235"/>
      <c r="F16" s="235"/>
      <c r="G16" s="225">
        <v>44.1</v>
      </c>
      <c r="H16" s="225">
        <v>20</v>
      </c>
      <c r="I16" s="225">
        <v>26.5</v>
      </c>
      <c r="J16" s="225">
        <v>18</v>
      </c>
      <c r="K16" s="228">
        <v>0.24</v>
      </c>
      <c r="L16" s="95"/>
      <c r="M16" s="95"/>
    </row>
    <row r="17" spans="1:13" ht="12.75" customHeight="1" x14ac:dyDescent="0.2">
      <c r="A17" s="213" t="s">
        <v>296</v>
      </c>
      <c r="B17" s="212" t="s">
        <v>239</v>
      </c>
      <c r="C17" s="10" t="s">
        <v>56</v>
      </c>
      <c r="D17" s="211" t="s">
        <v>57</v>
      </c>
      <c r="E17" s="235"/>
      <c r="F17" s="235"/>
      <c r="G17" s="225">
        <v>1.5</v>
      </c>
      <c r="H17" s="225">
        <v>25</v>
      </c>
      <c r="I17" s="225">
        <v>34.5</v>
      </c>
      <c r="J17" s="225">
        <v>24</v>
      </c>
      <c r="K17" s="168"/>
      <c r="L17" s="95"/>
      <c r="M17" s="95"/>
    </row>
    <row r="18" spans="1:13" ht="12.75" customHeight="1" x14ac:dyDescent="0.2">
      <c r="A18" s="213" t="s">
        <v>337</v>
      </c>
      <c r="B18" s="132" t="s">
        <v>207</v>
      </c>
      <c r="C18" s="10" t="s">
        <v>56</v>
      </c>
      <c r="D18" s="211" t="s">
        <v>57</v>
      </c>
      <c r="E18" s="235"/>
      <c r="F18" s="235"/>
      <c r="G18" s="225">
        <v>2.2999999999999998</v>
      </c>
      <c r="H18" s="225">
        <v>23</v>
      </c>
      <c r="I18" s="225">
        <v>35</v>
      </c>
      <c r="J18" s="225">
        <v>22</v>
      </c>
      <c r="K18" s="228">
        <v>5.32</v>
      </c>
      <c r="L18" s="95"/>
      <c r="M18" s="95"/>
    </row>
    <row r="19" spans="1:13" ht="12.75" customHeight="1" x14ac:dyDescent="0.2">
      <c r="A19" s="213" t="s">
        <v>338</v>
      </c>
      <c r="B19" s="132" t="s">
        <v>22</v>
      </c>
      <c r="C19" s="10" t="s">
        <v>56</v>
      </c>
      <c r="D19" s="211" t="s">
        <v>57</v>
      </c>
      <c r="E19" s="235"/>
      <c r="F19" s="235"/>
      <c r="G19" s="225">
        <v>0</v>
      </c>
      <c r="H19" s="225">
        <v>23</v>
      </c>
      <c r="I19" s="225">
        <v>37</v>
      </c>
      <c r="J19" s="225">
        <v>12</v>
      </c>
      <c r="K19" s="168"/>
      <c r="L19" s="95"/>
      <c r="M19" s="95"/>
    </row>
    <row r="20" spans="1:13" ht="12.75" customHeight="1" x14ac:dyDescent="0.2">
      <c r="A20" s="213" t="s">
        <v>297</v>
      </c>
      <c r="B20" s="132" t="s">
        <v>21</v>
      </c>
      <c r="C20" s="211" t="s">
        <v>55</v>
      </c>
      <c r="D20" s="211" t="s">
        <v>57</v>
      </c>
      <c r="E20" s="235"/>
      <c r="F20" s="235"/>
      <c r="G20" s="225">
        <v>0</v>
      </c>
      <c r="H20" s="225">
        <v>24</v>
      </c>
      <c r="I20" s="225">
        <v>33</v>
      </c>
      <c r="J20" s="225">
        <v>22</v>
      </c>
      <c r="K20" s="228">
        <v>2.76</v>
      </c>
      <c r="L20" s="95"/>
      <c r="M20" s="95"/>
    </row>
    <row r="21" spans="1:13" ht="12.75" customHeight="1" x14ac:dyDescent="0.2">
      <c r="A21" s="213" t="s">
        <v>339</v>
      </c>
      <c r="B21" s="132" t="s">
        <v>240</v>
      </c>
      <c r="C21" s="10" t="s">
        <v>56</v>
      </c>
      <c r="D21" s="211" t="s">
        <v>58</v>
      </c>
      <c r="E21" s="235"/>
      <c r="F21" s="235"/>
      <c r="G21" s="225">
        <v>0.3</v>
      </c>
      <c r="H21" s="225">
        <v>15</v>
      </c>
      <c r="I21" s="225">
        <v>25</v>
      </c>
      <c r="J21" s="225">
        <v>14</v>
      </c>
      <c r="K21" s="169"/>
      <c r="L21" s="95"/>
      <c r="M21" s="95"/>
    </row>
    <row r="22" spans="1:13" ht="12.75" customHeight="1" x14ac:dyDescent="0.2">
      <c r="A22" s="213" t="s">
        <v>340</v>
      </c>
      <c r="B22" s="132" t="s">
        <v>24</v>
      </c>
      <c r="C22" s="10" t="s">
        <v>56</v>
      </c>
      <c r="D22" s="211" t="s">
        <v>58</v>
      </c>
      <c r="E22" s="235"/>
      <c r="F22" s="235"/>
      <c r="G22" s="225">
        <v>0.5</v>
      </c>
      <c r="H22" s="225">
        <v>11</v>
      </c>
      <c r="I22" s="225">
        <v>17</v>
      </c>
      <c r="J22" s="225">
        <v>9</v>
      </c>
      <c r="K22" s="228">
        <v>1.3</v>
      </c>
      <c r="L22" s="95"/>
      <c r="M22" s="95"/>
    </row>
    <row r="23" spans="1:13" ht="12.75" customHeight="1" x14ac:dyDescent="0.2">
      <c r="A23" s="213" t="s">
        <v>341</v>
      </c>
      <c r="B23" s="132" t="s">
        <v>208</v>
      </c>
      <c r="C23" s="10" t="s">
        <v>56</v>
      </c>
      <c r="D23" s="211" t="s">
        <v>58</v>
      </c>
      <c r="E23" s="235"/>
      <c r="F23" s="235"/>
      <c r="G23" s="225"/>
      <c r="H23" s="225"/>
      <c r="I23" s="225"/>
      <c r="J23" s="225"/>
      <c r="K23" s="228"/>
      <c r="L23" s="95"/>
      <c r="M23" s="95"/>
    </row>
    <row r="24" spans="1:13" ht="12.75" customHeight="1" x14ac:dyDescent="0.2">
      <c r="A24" s="213" t="s">
        <v>342</v>
      </c>
      <c r="B24" s="132" t="s">
        <v>199</v>
      </c>
      <c r="C24" s="10" t="s">
        <v>56</v>
      </c>
      <c r="D24" s="211" t="s">
        <v>58</v>
      </c>
      <c r="E24" s="235"/>
      <c r="F24" s="235"/>
      <c r="G24" s="225">
        <v>0</v>
      </c>
      <c r="H24" s="225">
        <v>13</v>
      </c>
      <c r="I24" s="225">
        <v>22</v>
      </c>
      <c r="J24" s="225">
        <v>11</v>
      </c>
      <c r="K24" s="228">
        <v>2.2000000000000002</v>
      </c>
      <c r="L24" s="95"/>
      <c r="M24" s="95"/>
    </row>
    <row r="25" spans="1:13" ht="12.75" customHeight="1" x14ac:dyDescent="0.2">
      <c r="A25" s="213" t="s">
        <v>343</v>
      </c>
      <c r="B25" s="132" t="s">
        <v>25</v>
      </c>
      <c r="C25" s="10" t="s">
        <v>56</v>
      </c>
      <c r="D25" s="211" t="s">
        <v>58</v>
      </c>
      <c r="E25" s="235"/>
      <c r="F25" s="235"/>
      <c r="G25" s="225">
        <v>0</v>
      </c>
      <c r="H25" s="225">
        <v>13.5</v>
      </c>
      <c r="I25" s="225">
        <v>19.5</v>
      </c>
      <c r="J25" s="225">
        <v>10.5</v>
      </c>
      <c r="K25" s="228">
        <v>2.68</v>
      </c>
      <c r="L25" s="95"/>
      <c r="M25" s="95"/>
    </row>
    <row r="26" spans="1:13" ht="12.75" customHeight="1" x14ac:dyDescent="0.2">
      <c r="A26" s="213" t="s">
        <v>377</v>
      </c>
      <c r="B26" s="132" t="s">
        <v>26</v>
      </c>
      <c r="C26" s="10" t="s">
        <v>56</v>
      </c>
      <c r="D26" s="211" t="s">
        <v>58</v>
      </c>
      <c r="E26" s="235"/>
      <c r="F26" s="235"/>
      <c r="G26" s="225">
        <v>22</v>
      </c>
      <c r="H26" s="225">
        <v>17</v>
      </c>
      <c r="I26" s="225">
        <v>26</v>
      </c>
      <c r="J26" s="225">
        <v>16</v>
      </c>
      <c r="K26" s="228">
        <v>2.48</v>
      </c>
      <c r="L26" s="95"/>
      <c r="M26" s="95"/>
    </row>
    <row r="27" spans="1:13" ht="12.75" customHeight="1" x14ac:dyDescent="0.2">
      <c r="A27" s="213" t="s">
        <v>415</v>
      </c>
      <c r="B27" s="132" t="s">
        <v>413</v>
      </c>
      <c r="C27" s="10" t="s">
        <v>56</v>
      </c>
      <c r="D27" s="211" t="s">
        <v>58</v>
      </c>
      <c r="E27" s="235"/>
      <c r="F27" s="235"/>
      <c r="G27" s="225">
        <v>27</v>
      </c>
      <c r="H27" s="225">
        <v>16</v>
      </c>
      <c r="I27" s="225">
        <v>26</v>
      </c>
      <c r="J27" s="225">
        <v>15</v>
      </c>
      <c r="K27" s="169"/>
      <c r="L27" s="95"/>
      <c r="M27" s="95"/>
    </row>
    <row r="28" spans="1:13" ht="12.75" customHeight="1" x14ac:dyDescent="0.2">
      <c r="A28" s="213" t="s">
        <v>344</v>
      </c>
      <c r="B28" s="212" t="s">
        <v>241</v>
      </c>
      <c r="C28" s="10" t="s">
        <v>56</v>
      </c>
      <c r="D28" s="211" t="s">
        <v>58</v>
      </c>
      <c r="E28" s="235"/>
      <c r="F28" s="235"/>
      <c r="G28" s="225">
        <v>0</v>
      </c>
      <c r="H28" s="225">
        <v>14</v>
      </c>
      <c r="I28" s="225">
        <v>30</v>
      </c>
      <c r="J28" s="225">
        <v>13</v>
      </c>
      <c r="K28" s="228">
        <v>0.2</v>
      </c>
      <c r="L28" s="95"/>
      <c r="M28" s="95"/>
    </row>
    <row r="29" spans="1:13" ht="12.75" customHeight="1" x14ac:dyDescent="0.2">
      <c r="A29" s="213" t="s">
        <v>345</v>
      </c>
      <c r="B29" s="132" t="s">
        <v>32</v>
      </c>
      <c r="C29" s="10" t="s">
        <v>56</v>
      </c>
      <c r="D29" s="211" t="s">
        <v>58</v>
      </c>
      <c r="E29" s="235"/>
      <c r="F29" s="235"/>
      <c r="G29" s="225" t="s">
        <v>428</v>
      </c>
      <c r="H29" s="225">
        <v>15</v>
      </c>
      <c r="I29" s="225">
        <v>21</v>
      </c>
      <c r="J29" s="225">
        <v>5</v>
      </c>
      <c r="K29" s="228">
        <v>3.41</v>
      </c>
      <c r="L29" s="95"/>
      <c r="M29" s="95"/>
    </row>
    <row r="30" spans="1:13" ht="12.75" customHeight="1" x14ac:dyDescent="0.2">
      <c r="A30" s="213" t="s">
        <v>346</v>
      </c>
      <c r="B30" s="132" t="s">
        <v>36</v>
      </c>
      <c r="C30" s="10" t="s">
        <v>56</v>
      </c>
      <c r="D30" s="211" t="s">
        <v>58</v>
      </c>
      <c r="E30" s="235"/>
      <c r="F30" s="235"/>
      <c r="G30" s="225">
        <v>1.6</v>
      </c>
      <c r="H30" s="225">
        <v>15</v>
      </c>
      <c r="I30" s="225">
        <v>20.5</v>
      </c>
      <c r="J30" s="225">
        <v>15</v>
      </c>
      <c r="K30" s="228">
        <v>0.72</v>
      </c>
      <c r="L30" s="95"/>
      <c r="M30" s="95"/>
    </row>
    <row r="31" spans="1:13" ht="12.75" customHeight="1" x14ac:dyDescent="0.2">
      <c r="A31" s="213" t="s">
        <v>347</v>
      </c>
      <c r="B31" s="132" t="s">
        <v>34</v>
      </c>
      <c r="C31" s="10" t="s">
        <v>56</v>
      </c>
      <c r="D31" s="211" t="s">
        <v>58</v>
      </c>
      <c r="E31" s="235"/>
      <c r="F31" s="235"/>
      <c r="G31" s="225">
        <v>1</v>
      </c>
      <c r="H31" s="225">
        <v>20</v>
      </c>
      <c r="I31" s="225">
        <v>29</v>
      </c>
      <c r="J31" s="225">
        <v>18</v>
      </c>
      <c r="K31" s="228">
        <v>3</v>
      </c>
      <c r="L31" s="95"/>
      <c r="M31" s="95"/>
    </row>
    <row r="32" spans="1:13" ht="12.75" customHeight="1" x14ac:dyDescent="0.2">
      <c r="A32" s="213" t="s">
        <v>348</v>
      </c>
      <c r="B32" s="132" t="s">
        <v>35</v>
      </c>
      <c r="C32" s="10" t="s">
        <v>56</v>
      </c>
      <c r="D32" s="211" t="s">
        <v>58</v>
      </c>
      <c r="E32" s="235"/>
      <c r="F32" s="235"/>
      <c r="G32" s="225"/>
      <c r="H32" s="225"/>
      <c r="I32" s="225"/>
      <c r="J32" s="225"/>
      <c r="K32" s="228"/>
      <c r="L32" s="95"/>
      <c r="M32" s="95"/>
    </row>
    <row r="33" spans="1:15" ht="12.75" customHeight="1" x14ac:dyDescent="0.2">
      <c r="A33" s="213" t="s">
        <v>298</v>
      </c>
      <c r="B33" s="132" t="s">
        <v>203</v>
      </c>
      <c r="C33" s="211" t="s">
        <v>55</v>
      </c>
      <c r="D33" s="211" t="s">
        <v>58</v>
      </c>
      <c r="E33" s="235"/>
      <c r="F33" s="235"/>
      <c r="G33" s="225">
        <v>0</v>
      </c>
      <c r="H33" s="167"/>
      <c r="I33" s="167"/>
      <c r="J33" s="167"/>
      <c r="K33" s="168"/>
      <c r="L33" s="95"/>
      <c r="M33" s="95"/>
    </row>
    <row r="34" spans="1:15" ht="12.75" customHeight="1" x14ac:dyDescent="0.2">
      <c r="A34" s="213" t="s">
        <v>349</v>
      </c>
      <c r="B34" s="132" t="s">
        <v>33</v>
      </c>
      <c r="C34" s="211" t="s">
        <v>55</v>
      </c>
      <c r="D34" s="211" t="s">
        <v>58</v>
      </c>
      <c r="E34" s="235"/>
      <c r="F34" s="235"/>
      <c r="G34" s="167"/>
      <c r="H34" s="167"/>
      <c r="I34" s="167"/>
      <c r="J34" s="167"/>
      <c r="K34" s="216"/>
      <c r="L34" s="95"/>
      <c r="M34" s="95"/>
    </row>
    <row r="35" spans="1:15" ht="12.75" customHeight="1" x14ac:dyDescent="0.2">
      <c r="A35" s="213" t="s">
        <v>350</v>
      </c>
      <c r="B35" s="212" t="s">
        <v>38</v>
      </c>
      <c r="C35" s="10" t="s">
        <v>56</v>
      </c>
      <c r="D35" s="10" t="s">
        <v>59</v>
      </c>
      <c r="E35" s="235"/>
      <c r="F35" s="235"/>
      <c r="G35" s="225">
        <v>0</v>
      </c>
      <c r="H35" s="225">
        <v>13</v>
      </c>
      <c r="I35" s="225">
        <v>21</v>
      </c>
      <c r="J35" s="225">
        <v>13</v>
      </c>
      <c r="K35" s="246"/>
      <c r="L35" s="95"/>
      <c r="M35" s="95"/>
      <c r="N35" s="239"/>
      <c r="O35" s="239"/>
    </row>
    <row r="36" spans="1:15" ht="12.75" customHeight="1" x14ac:dyDescent="0.2">
      <c r="A36" s="213" t="s">
        <v>417</v>
      </c>
      <c r="B36" s="212" t="s">
        <v>259</v>
      </c>
      <c r="C36" s="10" t="s">
        <v>56</v>
      </c>
      <c r="D36" s="10" t="s">
        <v>60</v>
      </c>
      <c r="E36" s="235"/>
      <c r="F36" s="235"/>
      <c r="G36" s="225"/>
      <c r="H36" s="225"/>
      <c r="I36" s="225"/>
      <c r="J36" s="225"/>
      <c r="K36" s="228"/>
      <c r="L36" s="95"/>
      <c r="M36" s="95"/>
    </row>
    <row r="37" spans="1:15" ht="12.75" customHeight="1" x14ac:dyDescent="0.2">
      <c r="A37" s="213" t="s">
        <v>351</v>
      </c>
      <c r="B37" s="132" t="s">
        <v>37</v>
      </c>
      <c r="C37" s="10" t="s">
        <v>56</v>
      </c>
      <c r="D37" s="211" t="s">
        <v>60</v>
      </c>
      <c r="E37" s="235"/>
      <c r="F37" s="235"/>
      <c r="G37" s="225">
        <v>0</v>
      </c>
      <c r="H37" s="225">
        <v>14</v>
      </c>
      <c r="I37" s="225">
        <v>22</v>
      </c>
      <c r="J37" s="225">
        <v>11</v>
      </c>
      <c r="K37" s="228">
        <v>3</v>
      </c>
      <c r="L37" s="95"/>
      <c r="M37" s="95"/>
    </row>
    <row r="38" spans="1:15" ht="12.75" customHeight="1" x14ac:dyDescent="0.2">
      <c r="A38" s="213" t="s">
        <v>352</v>
      </c>
      <c r="B38" s="132" t="s">
        <v>39</v>
      </c>
      <c r="C38" s="211" t="s">
        <v>55</v>
      </c>
      <c r="D38" s="211" t="s">
        <v>60</v>
      </c>
      <c r="E38" s="235"/>
      <c r="F38" s="235"/>
      <c r="G38" s="225">
        <v>0</v>
      </c>
      <c r="H38" s="225">
        <v>14</v>
      </c>
      <c r="I38" s="225">
        <v>21</v>
      </c>
      <c r="J38" s="225">
        <v>12</v>
      </c>
      <c r="K38" s="228">
        <v>0.47</v>
      </c>
      <c r="L38" s="95"/>
      <c r="M38" s="95"/>
    </row>
    <row r="39" spans="1:15" ht="12.75" customHeight="1" x14ac:dyDescent="0.2">
      <c r="A39" s="213" t="s">
        <v>299</v>
      </c>
      <c r="B39" s="132" t="s">
        <v>41</v>
      </c>
      <c r="C39" s="211" t="s">
        <v>55</v>
      </c>
      <c r="D39" s="211" t="s">
        <v>60</v>
      </c>
      <c r="E39" s="235"/>
      <c r="F39" s="235"/>
      <c r="G39" s="225">
        <v>0</v>
      </c>
      <c r="H39" s="167"/>
      <c r="I39" s="167"/>
      <c r="J39" s="167"/>
      <c r="K39" s="168"/>
      <c r="L39" s="95"/>
      <c r="M39" s="95"/>
    </row>
    <row r="40" spans="1:15" ht="12.75" customHeight="1" x14ac:dyDescent="0.2">
      <c r="A40" s="213" t="s">
        <v>300</v>
      </c>
      <c r="B40" s="132" t="s">
        <v>42</v>
      </c>
      <c r="C40" s="211" t="s">
        <v>55</v>
      </c>
      <c r="D40" s="211" t="s">
        <v>60</v>
      </c>
      <c r="E40" s="235"/>
      <c r="F40" s="235"/>
      <c r="G40" s="225" t="s">
        <v>428</v>
      </c>
      <c r="H40" s="225">
        <v>21.5</v>
      </c>
      <c r="I40" s="225">
        <v>35.5</v>
      </c>
      <c r="J40" s="225">
        <v>21.5</v>
      </c>
      <c r="K40" s="228">
        <v>5.05</v>
      </c>
      <c r="L40" s="95"/>
      <c r="M40" s="95"/>
    </row>
    <row r="41" spans="1:15" ht="12.75" customHeight="1" x14ac:dyDescent="0.2">
      <c r="A41" s="213" t="s">
        <v>353</v>
      </c>
      <c r="B41" s="132" t="s">
        <v>43</v>
      </c>
      <c r="C41" s="211" t="s">
        <v>55</v>
      </c>
      <c r="D41" s="211" t="s">
        <v>60</v>
      </c>
      <c r="E41" s="235"/>
      <c r="F41" s="235"/>
      <c r="G41" s="225"/>
      <c r="H41" s="225"/>
      <c r="I41" s="225"/>
      <c r="J41" s="225"/>
      <c r="K41" s="228"/>
      <c r="L41" s="95"/>
      <c r="M41" s="95"/>
    </row>
    <row r="42" spans="1:15" ht="12.75" customHeight="1" x14ac:dyDescent="0.2">
      <c r="A42" s="213" t="s">
        <v>354</v>
      </c>
      <c r="B42" s="132" t="s">
        <v>44</v>
      </c>
      <c r="C42" s="211" t="s">
        <v>55</v>
      </c>
      <c r="D42" s="211" t="s">
        <v>44</v>
      </c>
      <c r="E42" s="235"/>
      <c r="F42" s="235"/>
      <c r="G42" s="225"/>
      <c r="H42" s="167"/>
      <c r="I42" s="167"/>
      <c r="J42" s="167"/>
      <c r="K42" s="168"/>
      <c r="L42" s="95"/>
      <c r="M42" s="95"/>
    </row>
    <row r="43" spans="1:15" ht="12.75" customHeight="1" x14ac:dyDescent="0.2">
      <c r="A43" s="213" t="s">
        <v>355</v>
      </c>
      <c r="B43" s="212" t="s">
        <v>255</v>
      </c>
      <c r="C43" s="10" t="s">
        <v>55</v>
      </c>
      <c r="D43" s="10" t="s">
        <v>44</v>
      </c>
      <c r="E43" s="235"/>
      <c r="F43" s="235"/>
      <c r="G43" s="222"/>
      <c r="H43" s="215"/>
      <c r="I43" s="215"/>
      <c r="J43" s="215"/>
      <c r="K43" s="216"/>
      <c r="L43" s="95"/>
      <c r="M43" s="95"/>
    </row>
    <row r="44" spans="1:15" ht="12.75" customHeight="1" x14ac:dyDescent="0.2">
      <c r="A44" s="213" t="s">
        <v>356</v>
      </c>
      <c r="B44" s="132" t="s">
        <v>45</v>
      </c>
      <c r="C44" s="211" t="s">
        <v>55</v>
      </c>
      <c r="D44" s="211" t="s">
        <v>61</v>
      </c>
      <c r="E44" s="235"/>
      <c r="F44" s="235"/>
      <c r="G44" s="225">
        <v>0</v>
      </c>
      <c r="H44" s="238"/>
      <c r="I44" s="238"/>
      <c r="J44" s="238"/>
      <c r="K44" s="228"/>
      <c r="L44" s="95"/>
      <c r="M44" s="95"/>
    </row>
    <row r="45" spans="1:15" ht="12.75" customHeight="1" x14ac:dyDescent="0.2">
      <c r="A45" s="213" t="s">
        <v>357</v>
      </c>
      <c r="B45" s="132" t="s">
        <v>46</v>
      </c>
      <c r="C45" s="211" t="s">
        <v>55</v>
      </c>
      <c r="D45" s="10" t="s">
        <v>61</v>
      </c>
      <c r="E45" s="235"/>
      <c r="F45" s="235"/>
      <c r="G45" s="225">
        <v>24.6</v>
      </c>
      <c r="H45" s="225">
        <v>12</v>
      </c>
      <c r="I45" s="225">
        <v>21</v>
      </c>
      <c r="J45" s="225">
        <v>10.5</v>
      </c>
      <c r="K45" s="228">
        <v>3.65</v>
      </c>
      <c r="L45" s="95"/>
      <c r="M45" s="95"/>
    </row>
    <row r="46" spans="1:15" ht="12.75" customHeight="1" x14ac:dyDescent="0.2">
      <c r="A46" s="213" t="s">
        <v>358</v>
      </c>
      <c r="B46" s="212" t="s">
        <v>242</v>
      </c>
      <c r="C46" s="211" t="s">
        <v>55</v>
      </c>
      <c r="D46" s="211" t="s">
        <v>61</v>
      </c>
      <c r="E46" s="235"/>
      <c r="F46" s="235"/>
      <c r="G46" s="225" t="s">
        <v>428</v>
      </c>
      <c r="H46" s="225">
        <v>14</v>
      </c>
      <c r="I46" s="225">
        <v>24</v>
      </c>
      <c r="J46" s="225">
        <v>12</v>
      </c>
      <c r="K46" s="169"/>
      <c r="L46" s="95"/>
      <c r="M46" s="95"/>
    </row>
    <row r="47" spans="1:15" ht="12.75" customHeight="1" x14ac:dyDescent="0.2">
      <c r="A47" s="213" t="s">
        <v>359</v>
      </c>
      <c r="B47" s="132" t="s">
        <v>47</v>
      </c>
      <c r="C47" s="211" t="s">
        <v>55</v>
      </c>
      <c r="D47" s="211" t="s">
        <v>61</v>
      </c>
      <c r="E47" s="235"/>
      <c r="F47" s="235"/>
      <c r="G47" s="225">
        <v>0</v>
      </c>
      <c r="H47" s="225">
        <v>17</v>
      </c>
      <c r="I47" s="225">
        <v>25</v>
      </c>
      <c r="J47" s="225">
        <v>16</v>
      </c>
      <c r="K47" s="168"/>
      <c r="L47" s="95"/>
      <c r="M47" s="95"/>
    </row>
    <row r="48" spans="1:15" ht="12.75" customHeight="1" x14ac:dyDescent="0.2">
      <c r="A48" s="213" t="s">
        <v>360</v>
      </c>
      <c r="B48" s="132" t="s">
        <v>49</v>
      </c>
      <c r="C48" s="211" t="s">
        <v>55</v>
      </c>
      <c r="D48" s="211" t="s">
        <v>61</v>
      </c>
      <c r="E48" s="235"/>
      <c r="F48" s="235"/>
      <c r="G48" s="225">
        <v>12</v>
      </c>
      <c r="H48" s="167"/>
      <c r="I48" s="167"/>
      <c r="J48" s="167"/>
      <c r="K48" s="228">
        <v>2.36</v>
      </c>
      <c r="L48" s="95"/>
      <c r="M48" s="95"/>
    </row>
    <row r="49" spans="1:13" ht="12.75" customHeight="1" x14ac:dyDescent="0.2">
      <c r="A49" s="213" t="s">
        <v>361</v>
      </c>
      <c r="B49" s="132" t="s">
        <v>209</v>
      </c>
      <c r="C49" s="211" t="s">
        <v>55</v>
      </c>
      <c r="D49" s="211" t="s">
        <v>61</v>
      </c>
      <c r="E49" s="235"/>
      <c r="F49" s="235"/>
      <c r="G49" s="225">
        <v>0</v>
      </c>
      <c r="H49" s="225">
        <v>20.5</v>
      </c>
      <c r="I49" s="225">
        <v>29</v>
      </c>
      <c r="J49" s="225">
        <v>18</v>
      </c>
      <c r="K49" s="168"/>
      <c r="L49" s="95"/>
      <c r="M49" s="95"/>
    </row>
    <row r="50" spans="1:13" ht="12.75" customHeight="1" x14ac:dyDescent="0.2">
      <c r="A50" s="213" t="s">
        <v>303</v>
      </c>
      <c r="B50" s="132" t="s">
        <v>61</v>
      </c>
      <c r="C50" s="211" t="s">
        <v>55</v>
      </c>
      <c r="D50" s="211" t="s">
        <v>61</v>
      </c>
      <c r="E50" s="235"/>
      <c r="F50" s="235"/>
      <c r="G50" s="225">
        <v>0</v>
      </c>
      <c r="H50" s="225">
        <v>24.5</v>
      </c>
      <c r="I50" s="225">
        <v>34.5</v>
      </c>
      <c r="J50" s="225">
        <v>24</v>
      </c>
      <c r="K50" s="228">
        <v>5.47</v>
      </c>
      <c r="L50" s="95"/>
      <c r="M50" s="95"/>
    </row>
    <row r="51" spans="1:13" ht="12.75" customHeight="1" x14ac:dyDescent="0.2">
      <c r="A51" s="213" t="s">
        <v>304</v>
      </c>
      <c r="B51" s="132" t="s">
        <v>195</v>
      </c>
      <c r="C51" s="211" t="s">
        <v>55</v>
      </c>
      <c r="D51" s="211" t="s">
        <v>61</v>
      </c>
      <c r="E51" s="235"/>
      <c r="F51" s="235"/>
      <c r="G51" s="225">
        <v>0</v>
      </c>
      <c r="H51" s="225">
        <v>23.5</v>
      </c>
      <c r="I51" s="225">
        <v>34</v>
      </c>
      <c r="J51" s="225">
        <v>23</v>
      </c>
      <c r="K51" s="228">
        <v>4.4000000000000004</v>
      </c>
      <c r="L51" s="95"/>
      <c r="M51" s="95"/>
    </row>
    <row r="52" spans="1:13" ht="12.75" customHeight="1" x14ac:dyDescent="0.2">
      <c r="A52" s="213" t="s">
        <v>305</v>
      </c>
      <c r="B52" s="132" t="s">
        <v>110</v>
      </c>
      <c r="C52" s="211" t="s">
        <v>55</v>
      </c>
      <c r="D52" s="211" t="s">
        <v>61</v>
      </c>
      <c r="E52" s="235"/>
      <c r="F52" s="235"/>
      <c r="G52" s="225">
        <v>0</v>
      </c>
      <c r="H52" s="167"/>
      <c r="I52" s="167"/>
      <c r="J52" s="167"/>
      <c r="K52" s="168"/>
      <c r="L52" s="95"/>
      <c r="M52" s="95"/>
    </row>
    <row r="53" spans="1:13" ht="12.75" customHeight="1" x14ac:dyDescent="0.2">
      <c r="A53" s="213" t="s">
        <v>362</v>
      </c>
      <c r="B53" s="132" t="s">
        <v>225</v>
      </c>
      <c r="C53" s="211" t="s">
        <v>55</v>
      </c>
      <c r="D53" s="211" t="s">
        <v>59</v>
      </c>
      <c r="E53" s="235"/>
      <c r="F53" s="235"/>
      <c r="G53" s="225">
        <v>0</v>
      </c>
      <c r="H53" s="225">
        <v>12</v>
      </c>
      <c r="I53" s="225">
        <v>21</v>
      </c>
      <c r="J53" s="225">
        <v>10</v>
      </c>
      <c r="K53" s="168"/>
      <c r="L53" s="95"/>
      <c r="M53" s="95"/>
    </row>
    <row r="54" spans="1:13" ht="12.75" customHeight="1" x14ac:dyDescent="0.2">
      <c r="A54" s="213" t="s">
        <v>363</v>
      </c>
      <c r="B54" s="132" t="s">
        <v>52</v>
      </c>
      <c r="C54" s="211" t="s">
        <v>55</v>
      </c>
      <c r="D54" s="211" t="s">
        <v>62</v>
      </c>
      <c r="E54" s="235"/>
      <c r="F54" s="235"/>
      <c r="G54" s="225"/>
      <c r="H54" s="167"/>
      <c r="I54" s="167"/>
      <c r="J54" s="167"/>
      <c r="K54" s="228"/>
      <c r="L54" s="95"/>
      <c r="M54" s="95"/>
    </row>
    <row r="55" spans="1:13" ht="12.75" customHeight="1" x14ac:dyDescent="0.2">
      <c r="A55" s="213" t="s">
        <v>364</v>
      </c>
      <c r="B55" s="132" t="s">
        <v>53</v>
      </c>
      <c r="C55" s="211" t="s">
        <v>55</v>
      </c>
      <c r="D55" s="211" t="s">
        <v>62</v>
      </c>
      <c r="E55" s="235"/>
      <c r="F55" s="235"/>
      <c r="G55" s="225">
        <v>5.2</v>
      </c>
      <c r="H55" s="225">
        <v>18</v>
      </c>
      <c r="I55" s="225">
        <v>28</v>
      </c>
      <c r="J55" s="225">
        <v>16</v>
      </c>
      <c r="K55" s="228">
        <v>3.1</v>
      </c>
      <c r="L55" s="95"/>
      <c r="M55" s="95"/>
    </row>
    <row r="56" spans="1:13" ht="12.75" customHeight="1" x14ac:dyDescent="0.2">
      <c r="A56" s="213" t="s">
        <v>365</v>
      </c>
      <c r="B56" s="132" t="s">
        <v>226</v>
      </c>
      <c r="C56" s="211" t="s">
        <v>55</v>
      </c>
      <c r="D56" s="211" t="s">
        <v>62</v>
      </c>
      <c r="E56" s="235"/>
      <c r="F56" s="235"/>
      <c r="G56" s="225">
        <v>21.1</v>
      </c>
      <c r="H56" s="225">
        <v>18</v>
      </c>
      <c r="I56" s="225">
        <v>27</v>
      </c>
      <c r="J56" s="225">
        <v>18</v>
      </c>
      <c r="K56" s="168"/>
      <c r="L56" s="95"/>
      <c r="M56" s="95"/>
    </row>
    <row r="57" spans="1:13" ht="12.75" customHeight="1" x14ac:dyDescent="0.2">
      <c r="A57" s="213" t="s">
        <v>366</v>
      </c>
      <c r="B57" s="132" t="s">
        <v>227</v>
      </c>
      <c r="C57" s="211" t="s">
        <v>55</v>
      </c>
      <c r="D57" s="211" t="s">
        <v>62</v>
      </c>
      <c r="E57" s="235"/>
      <c r="F57" s="235"/>
      <c r="G57" s="225">
        <v>0</v>
      </c>
      <c r="H57" s="167"/>
      <c r="I57" s="167"/>
      <c r="J57" s="167"/>
      <c r="K57" s="169"/>
      <c r="L57" s="95"/>
      <c r="M57" s="95"/>
    </row>
    <row r="58" spans="1:13" ht="12.75" customHeight="1" x14ac:dyDescent="0.2">
      <c r="A58" s="213" t="s">
        <v>367</v>
      </c>
      <c r="B58" s="212" t="s">
        <v>243</v>
      </c>
      <c r="C58" s="10" t="s">
        <v>56</v>
      </c>
      <c r="D58" s="211" t="s">
        <v>62</v>
      </c>
      <c r="E58" s="235"/>
      <c r="F58" s="235"/>
      <c r="G58" s="225"/>
      <c r="H58" s="225"/>
      <c r="I58" s="225"/>
      <c r="J58" s="225"/>
      <c r="K58" s="228"/>
      <c r="L58" s="95"/>
      <c r="M58" s="95"/>
    </row>
    <row r="59" spans="1:13" ht="12.75" customHeight="1" x14ac:dyDescent="0.2">
      <c r="A59" s="213" t="s">
        <v>368</v>
      </c>
      <c r="B59" s="132" t="s">
        <v>232</v>
      </c>
      <c r="C59" s="211" t="s">
        <v>55</v>
      </c>
      <c r="D59" s="211" t="s">
        <v>62</v>
      </c>
      <c r="E59" s="235"/>
      <c r="F59" s="235"/>
      <c r="G59" s="225">
        <v>8.8000000000000007</v>
      </c>
      <c r="H59" s="225">
        <v>16</v>
      </c>
      <c r="I59" s="225">
        <v>23</v>
      </c>
      <c r="J59" s="225">
        <v>15</v>
      </c>
      <c r="K59" s="169"/>
      <c r="L59" s="95"/>
      <c r="M59" s="95"/>
    </row>
    <row r="60" spans="1:13" ht="12.75" customHeight="1" x14ac:dyDescent="0.2">
      <c r="A60" s="213" t="s">
        <v>369</v>
      </c>
      <c r="B60" s="180" t="s">
        <v>50</v>
      </c>
      <c r="C60" s="181" t="s">
        <v>55</v>
      </c>
      <c r="D60" s="181" t="s">
        <v>62</v>
      </c>
      <c r="E60" s="225">
        <v>1013.1</v>
      </c>
      <c r="F60" s="231">
        <v>94</v>
      </c>
      <c r="G60" s="225">
        <v>0</v>
      </c>
      <c r="H60" s="225">
        <v>17.600000000000001</v>
      </c>
      <c r="I60" s="225">
        <v>27.3</v>
      </c>
      <c r="J60" s="225">
        <v>17</v>
      </c>
      <c r="K60" s="228">
        <v>1.75</v>
      </c>
      <c r="L60" s="95"/>
      <c r="M60" s="95"/>
    </row>
    <row r="61" spans="1:13" ht="12.75" customHeight="1" x14ac:dyDescent="0.2">
      <c r="A61" s="213" t="s">
        <v>416</v>
      </c>
      <c r="B61" s="132" t="s">
        <v>414</v>
      </c>
      <c r="C61" s="211" t="s">
        <v>55</v>
      </c>
      <c r="D61" s="211" t="s">
        <v>62</v>
      </c>
      <c r="E61" s="235"/>
      <c r="F61" s="235"/>
      <c r="G61" s="225">
        <v>0</v>
      </c>
      <c r="H61" s="167"/>
      <c r="I61" s="167"/>
      <c r="J61" s="167"/>
      <c r="K61" s="169"/>
      <c r="L61" s="95"/>
      <c r="M61" s="95"/>
    </row>
    <row r="62" spans="1:13" ht="12.75" customHeight="1" x14ac:dyDescent="0.2">
      <c r="A62" s="213" t="s">
        <v>370</v>
      </c>
      <c r="B62" s="132" t="s">
        <v>51</v>
      </c>
      <c r="C62" s="211" t="s">
        <v>55</v>
      </c>
      <c r="D62" s="211" t="s">
        <v>62</v>
      </c>
      <c r="E62" s="235"/>
      <c r="F62" s="235"/>
      <c r="G62" s="225">
        <v>0.3</v>
      </c>
      <c r="H62" s="225">
        <v>17.399999999999999</v>
      </c>
      <c r="I62" s="225">
        <v>26</v>
      </c>
      <c r="J62" s="225">
        <v>17</v>
      </c>
      <c r="K62" s="228">
        <v>3.26</v>
      </c>
      <c r="L62" s="95"/>
      <c r="M62" s="95"/>
    </row>
    <row r="63" spans="1:13" ht="12.75" customHeight="1" x14ac:dyDescent="0.2">
      <c r="A63" s="213" t="s">
        <v>371</v>
      </c>
      <c r="B63" s="132" t="s">
        <v>54</v>
      </c>
      <c r="C63" s="211" t="s">
        <v>55</v>
      </c>
      <c r="D63" s="211" t="s">
        <v>62</v>
      </c>
      <c r="E63" s="235"/>
      <c r="F63" s="235"/>
      <c r="G63" s="225">
        <v>13.5</v>
      </c>
      <c r="H63" s="225">
        <v>17.5</v>
      </c>
      <c r="I63" s="225">
        <v>25.2</v>
      </c>
      <c r="J63" s="225">
        <v>16.5</v>
      </c>
      <c r="K63" s="168"/>
      <c r="L63" s="95"/>
      <c r="M63" s="95"/>
    </row>
    <row r="64" spans="1:13" ht="12.75" customHeight="1" x14ac:dyDescent="0.2">
      <c r="A64" s="213" t="s">
        <v>378</v>
      </c>
      <c r="B64" s="132" t="s">
        <v>262</v>
      </c>
      <c r="C64" s="211" t="s">
        <v>55</v>
      </c>
      <c r="D64" s="211" t="s">
        <v>62</v>
      </c>
      <c r="E64" s="235"/>
      <c r="F64" s="235"/>
      <c r="G64" s="225">
        <v>0.1</v>
      </c>
      <c r="H64" s="167"/>
      <c r="I64" s="167"/>
      <c r="J64" s="167"/>
      <c r="K64" s="169"/>
      <c r="L64" s="95"/>
      <c r="M64" s="95"/>
    </row>
    <row r="65" spans="1:13" ht="12.75" customHeight="1" thickBot="1" x14ac:dyDescent="0.25">
      <c r="A65" s="213" t="s">
        <v>372</v>
      </c>
      <c r="B65" s="137" t="s">
        <v>64</v>
      </c>
      <c r="C65" s="214" t="s">
        <v>55</v>
      </c>
      <c r="D65" s="214" t="s">
        <v>62</v>
      </c>
      <c r="E65" s="236"/>
      <c r="F65" s="236"/>
      <c r="G65" s="229"/>
      <c r="H65" s="229"/>
      <c r="I65" s="229"/>
      <c r="J65" s="229"/>
      <c r="K65" s="170"/>
      <c r="L65" s="95"/>
      <c r="M65" s="95"/>
    </row>
    <row r="66" spans="1:13" ht="12.75" customHeight="1" thickTop="1" x14ac:dyDescent="0.2">
      <c r="A66" s="213"/>
      <c r="B66" s="95"/>
      <c r="C66" s="95"/>
      <c r="D66" s="95"/>
      <c r="E66" s="95"/>
      <c r="F66" s="95"/>
      <c r="G66" s="95"/>
      <c r="H66" s="95"/>
      <c r="I66" s="95"/>
      <c r="J66" s="95"/>
      <c r="K66" s="95"/>
      <c r="L66" s="95"/>
      <c r="M66" s="95"/>
    </row>
    <row r="67" spans="1:13" ht="12.75" customHeight="1" x14ac:dyDescent="0.2"/>
    <row r="68" spans="1:13" ht="12.75" customHeight="1" x14ac:dyDescent="0.2"/>
  </sheetData>
  <dataConsolidate/>
  <mergeCells count="4">
    <mergeCell ref="B3:K3"/>
    <mergeCell ref="B5:K5"/>
    <mergeCell ref="B1:K1"/>
    <mergeCell ref="B2:K2"/>
  </mergeCells>
  <phoneticPr fontId="0" type="noConversion"/>
  <printOptions horizontalCentered="1" verticalCentered="1"/>
  <pageMargins left="0" right="0.19685039370078741" top="0.15748031496062992" bottom="0.15748031496062992" header="0" footer="0"/>
  <pageSetup scale="82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btnCapturarClmN">
          <controlPr disabled="1" autoLine="0" r:id="rId5">
            <anchor moveWithCells="1">
              <from>
                <xdr:col>11</xdr:col>
                <xdr:colOff>0</xdr:colOff>
                <xdr:row>0</xdr:row>
                <xdr:rowOff>0</xdr:rowOff>
              </from>
              <to>
                <xdr:col>12</xdr:col>
                <xdr:colOff>152400</xdr:colOff>
                <xdr:row>2</xdr:row>
                <xdr:rowOff>0</xdr:rowOff>
              </to>
            </anchor>
          </controlPr>
        </control>
      </mc:Choice>
      <mc:Fallback>
        <control shapeId="3073" r:id="rId4" name="btnCapturarClmN"/>
      </mc:Fallback>
    </mc:AlternateContent>
    <mc:AlternateContent xmlns:mc="http://schemas.openxmlformats.org/markup-compatibility/2006">
      <mc:Choice Requires="x14">
        <control shapeId="3074" r:id="rId6" name="btnActualizarClmN">
          <controlPr autoLine="0" r:id="rId7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12</xdr:col>
                <xdr:colOff>161925</xdr:colOff>
                <xdr:row>4</xdr:row>
                <xdr:rowOff>9525</xdr:rowOff>
              </to>
            </anchor>
          </controlPr>
        </control>
      </mc:Choice>
      <mc:Fallback>
        <control shapeId="3074" r:id="rId6" name="btnActualizarClm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M73"/>
  <sheetViews>
    <sheetView zoomScaleNormal="100" zoomScaleSheetLayoutView="85" workbookViewId="0">
      <pane xSplit="6" ySplit="7" topLeftCell="G8" activePane="bottomRight" state="frozen"/>
      <selection pane="topRight" activeCell="G1" sqref="G1"/>
      <selection pane="bottomLeft" activeCell="A8" sqref="A8"/>
      <selection pane="bottomRight" activeCell="G8" sqref="G8"/>
    </sheetView>
  </sheetViews>
  <sheetFormatPr baseColWidth="10" defaultRowHeight="12.75" x14ac:dyDescent="0.2"/>
  <cols>
    <col min="1" max="1" width="4.7109375" style="239" customWidth="1"/>
    <col min="2" max="2" width="22.7109375" customWidth="1"/>
    <col min="3" max="3" width="7" customWidth="1"/>
    <col min="4" max="4" width="16.42578125" customWidth="1"/>
    <col min="5" max="5" width="10.7109375" customWidth="1"/>
    <col min="6" max="6" width="6.5703125" customWidth="1"/>
    <col min="7" max="11" width="9.7109375" customWidth="1"/>
    <col min="12" max="12" width="11.42578125" customWidth="1"/>
  </cols>
  <sheetData>
    <row r="1" spans="1:13" x14ac:dyDescent="0.2">
      <c r="A1" s="213"/>
      <c r="B1" s="340" t="s">
        <v>190</v>
      </c>
      <c r="C1" s="340"/>
      <c r="D1" s="340"/>
      <c r="E1" s="340"/>
      <c r="F1" s="340"/>
      <c r="G1" s="340"/>
      <c r="H1" s="340"/>
      <c r="I1" s="340"/>
      <c r="J1" s="340"/>
      <c r="K1" s="340"/>
      <c r="L1" s="95"/>
      <c r="M1" s="95"/>
    </row>
    <row r="2" spans="1:13" x14ac:dyDescent="0.2">
      <c r="A2" s="213"/>
      <c r="B2" s="340" t="s">
        <v>189</v>
      </c>
      <c r="C2" s="340"/>
      <c r="D2" s="340"/>
      <c r="E2" s="340"/>
      <c r="F2" s="340"/>
      <c r="G2" s="340"/>
      <c r="H2" s="340"/>
      <c r="I2" s="340"/>
      <c r="J2" s="340"/>
      <c r="K2" s="340"/>
      <c r="L2" s="95"/>
      <c r="M2" s="95"/>
    </row>
    <row r="3" spans="1:13" x14ac:dyDescent="0.2">
      <c r="A3" s="213"/>
      <c r="B3" s="340" t="s">
        <v>191</v>
      </c>
      <c r="C3" s="340"/>
      <c r="D3" s="340"/>
      <c r="E3" s="340"/>
      <c r="F3" s="340"/>
      <c r="G3" s="340"/>
      <c r="H3" s="340"/>
      <c r="I3" s="340"/>
      <c r="J3" s="340"/>
      <c r="K3" s="340"/>
      <c r="L3" s="95"/>
      <c r="M3" s="95"/>
    </row>
    <row r="4" spans="1:13" x14ac:dyDescent="0.2">
      <c r="A4" s="213"/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95"/>
      <c r="M4" s="95"/>
    </row>
    <row r="5" spans="1:13" x14ac:dyDescent="0.2">
      <c r="A5" s="213"/>
      <c r="B5" s="403" t="s">
        <v>473</v>
      </c>
      <c r="C5" s="404"/>
      <c r="D5" s="404"/>
      <c r="E5" s="404"/>
      <c r="F5" s="404"/>
      <c r="G5" s="404"/>
      <c r="H5" s="404"/>
      <c r="I5" s="404"/>
      <c r="J5" s="404"/>
      <c r="K5" s="405"/>
      <c r="L5" s="95"/>
      <c r="M5" s="95"/>
    </row>
    <row r="6" spans="1:13" ht="13.5" thickBot="1" x14ac:dyDescent="0.25">
      <c r="A6" s="213"/>
      <c r="B6" s="209"/>
      <c r="C6" s="209"/>
      <c r="D6" s="209"/>
      <c r="E6" s="209"/>
      <c r="F6" s="209"/>
      <c r="G6" s="209"/>
      <c r="H6" s="209"/>
      <c r="I6" s="209"/>
      <c r="J6" s="209"/>
      <c r="K6" s="209"/>
      <c r="L6" s="95"/>
      <c r="M6" s="95"/>
    </row>
    <row r="7" spans="1:13" ht="13.5" thickTop="1" x14ac:dyDescent="0.2">
      <c r="A7" s="110" t="s">
        <v>293</v>
      </c>
      <c r="B7" s="210" t="s">
        <v>1</v>
      </c>
      <c r="C7" s="157" t="s">
        <v>2</v>
      </c>
      <c r="D7" s="157" t="s">
        <v>3</v>
      </c>
      <c r="E7" s="157" t="s">
        <v>4</v>
      </c>
      <c r="F7" s="157" t="s">
        <v>5</v>
      </c>
      <c r="G7" s="157" t="s">
        <v>6</v>
      </c>
      <c r="H7" s="157" t="s">
        <v>7</v>
      </c>
      <c r="I7" s="157" t="s">
        <v>8</v>
      </c>
      <c r="J7" s="157" t="s">
        <v>9</v>
      </c>
      <c r="K7" s="158" t="s">
        <v>10</v>
      </c>
      <c r="L7" s="95"/>
      <c r="M7" s="95"/>
    </row>
    <row r="8" spans="1:13" ht="12.75" customHeight="1" x14ac:dyDescent="0.2">
      <c r="A8" s="213" t="s">
        <v>301</v>
      </c>
      <c r="B8" s="135" t="s">
        <v>63</v>
      </c>
      <c r="C8" s="217" t="s">
        <v>55</v>
      </c>
      <c r="D8" s="217" t="s">
        <v>62</v>
      </c>
      <c r="E8" s="237"/>
      <c r="F8" s="237"/>
      <c r="G8" s="173"/>
      <c r="H8" s="173"/>
      <c r="I8" s="173"/>
      <c r="J8" s="173"/>
      <c r="K8" s="175"/>
      <c r="L8" s="95"/>
      <c r="M8" s="95"/>
    </row>
    <row r="9" spans="1:13" ht="12.75" customHeight="1" x14ac:dyDescent="0.2">
      <c r="A9" s="213" t="s">
        <v>302</v>
      </c>
      <c r="B9" s="132" t="s">
        <v>210</v>
      </c>
      <c r="C9" s="211" t="s">
        <v>55</v>
      </c>
      <c r="D9" s="211" t="s">
        <v>62</v>
      </c>
      <c r="E9" s="235"/>
      <c r="F9" s="235"/>
      <c r="G9" s="230">
        <v>0</v>
      </c>
      <c r="H9" s="230">
        <v>24</v>
      </c>
      <c r="I9" s="230">
        <v>35</v>
      </c>
      <c r="J9" s="230">
        <v>22</v>
      </c>
      <c r="K9" s="175"/>
      <c r="L9" s="95"/>
      <c r="M9" s="95"/>
    </row>
    <row r="10" spans="1:13" ht="12.75" customHeight="1" x14ac:dyDescent="0.2">
      <c r="A10" s="213" t="s">
        <v>373</v>
      </c>
      <c r="B10" s="132" t="s">
        <v>211</v>
      </c>
      <c r="C10" s="211" t="s">
        <v>55</v>
      </c>
      <c r="D10" s="211" t="s">
        <v>62</v>
      </c>
      <c r="E10" s="235"/>
      <c r="F10" s="235"/>
      <c r="G10" s="230">
        <v>0</v>
      </c>
      <c r="H10" s="230">
        <v>23</v>
      </c>
      <c r="I10" s="230">
        <v>36</v>
      </c>
      <c r="J10" s="230">
        <v>22</v>
      </c>
      <c r="K10" s="175"/>
      <c r="L10" s="95"/>
      <c r="M10" s="95"/>
    </row>
    <row r="11" spans="1:13" ht="12.75" customHeight="1" x14ac:dyDescent="0.2">
      <c r="A11" s="213" t="s">
        <v>379</v>
      </c>
      <c r="B11" s="177" t="s">
        <v>66</v>
      </c>
      <c r="C11" s="178" t="s">
        <v>55</v>
      </c>
      <c r="D11" s="178" t="s">
        <v>62</v>
      </c>
      <c r="E11" s="225">
        <v>1010.7</v>
      </c>
      <c r="F11" s="231">
        <v>76</v>
      </c>
      <c r="G11" s="230">
        <v>0</v>
      </c>
      <c r="H11" s="230">
        <v>26.8</v>
      </c>
      <c r="I11" s="230">
        <v>34</v>
      </c>
      <c r="J11" s="230">
        <v>25</v>
      </c>
      <c r="K11" s="232">
        <v>5.18</v>
      </c>
      <c r="L11" s="95"/>
      <c r="M11" s="95"/>
    </row>
    <row r="12" spans="1:13" ht="12.75" customHeight="1" x14ac:dyDescent="0.2">
      <c r="A12" s="213" t="s">
        <v>410</v>
      </c>
      <c r="B12" s="212" t="s">
        <v>263</v>
      </c>
      <c r="C12" s="10" t="s">
        <v>55</v>
      </c>
      <c r="D12" s="10" t="s">
        <v>62</v>
      </c>
      <c r="E12" s="235"/>
      <c r="F12" s="231">
        <v>92</v>
      </c>
      <c r="G12" s="230">
        <v>0</v>
      </c>
      <c r="H12" s="230">
        <v>24.1</v>
      </c>
      <c r="I12" s="230">
        <v>32.200000000000003</v>
      </c>
      <c r="J12" s="230">
        <v>23.8</v>
      </c>
      <c r="K12" s="175"/>
      <c r="L12" s="95"/>
      <c r="M12" s="95"/>
    </row>
    <row r="13" spans="1:13" ht="12.75" customHeight="1" x14ac:dyDescent="0.2">
      <c r="A13" s="213" t="s">
        <v>380</v>
      </c>
      <c r="B13" s="212" t="s">
        <v>233</v>
      </c>
      <c r="C13" s="10" t="s">
        <v>55</v>
      </c>
      <c r="D13" s="218" t="s">
        <v>107</v>
      </c>
      <c r="E13" s="235"/>
      <c r="F13" s="235"/>
      <c r="G13" s="230">
        <v>34.5</v>
      </c>
      <c r="H13" s="230">
        <v>17</v>
      </c>
      <c r="I13" s="230">
        <v>24</v>
      </c>
      <c r="J13" s="230">
        <v>16</v>
      </c>
      <c r="K13" s="232">
        <v>1.8</v>
      </c>
      <c r="L13" s="95"/>
      <c r="M13" s="95"/>
    </row>
    <row r="14" spans="1:13" ht="12.75" customHeight="1" x14ac:dyDescent="0.2">
      <c r="A14" s="213" t="s">
        <v>381</v>
      </c>
      <c r="B14" s="212" t="s">
        <v>67</v>
      </c>
      <c r="C14" s="10" t="s">
        <v>55</v>
      </c>
      <c r="D14" s="218" t="s">
        <v>107</v>
      </c>
      <c r="E14" s="235"/>
      <c r="F14" s="235"/>
      <c r="G14" s="230"/>
      <c r="H14" s="230"/>
      <c r="I14" s="230"/>
      <c r="J14" s="230"/>
      <c r="K14" s="232"/>
      <c r="L14" s="95"/>
      <c r="M14" s="95"/>
    </row>
    <row r="15" spans="1:13" ht="12.75" customHeight="1" x14ac:dyDescent="0.2">
      <c r="A15" s="213" t="s">
        <v>382</v>
      </c>
      <c r="B15" s="212" t="s">
        <v>68</v>
      </c>
      <c r="C15" s="10" t="s">
        <v>55</v>
      </c>
      <c r="D15" s="218" t="s">
        <v>107</v>
      </c>
      <c r="E15" s="235"/>
      <c r="F15" s="235"/>
      <c r="G15" s="230">
        <v>0</v>
      </c>
      <c r="H15" s="230">
        <v>24</v>
      </c>
      <c r="I15" s="230">
        <v>33</v>
      </c>
      <c r="J15" s="230">
        <v>22</v>
      </c>
      <c r="K15" s="175"/>
      <c r="L15" s="95"/>
      <c r="M15" s="95"/>
    </row>
    <row r="16" spans="1:13" ht="12.75" customHeight="1" x14ac:dyDescent="0.2">
      <c r="A16" s="213" t="s">
        <v>383</v>
      </c>
      <c r="B16" s="212" t="s">
        <v>69</v>
      </c>
      <c r="C16" s="10" t="s">
        <v>55</v>
      </c>
      <c r="D16" s="218" t="s">
        <v>107</v>
      </c>
      <c r="E16" s="235"/>
      <c r="F16" s="235"/>
      <c r="G16" s="230">
        <v>0</v>
      </c>
      <c r="H16" s="173"/>
      <c r="I16" s="173"/>
      <c r="J16" s="173"/>
      <c r="K16" s="175"/>
      <c r="L16" s="95"/>
      <c r="M16" s="95"/>
    </row>
    <row r="17" spans="1:13" ht="12.75" customHeight="1" x14ac:dyDescent="0.2">
      <c r="A17" s="213" t="s">
        <v>306</v>
      </c>
      <c r="B17" s="212" t="s">
        <v>70</v>
      </c>
      <c r="C17" s="10" t="s">
        <v>55</v>
      </c>
      <c r="D17" s="218" t="s">
        <v>107</v>
      </c>
      <c r="E17" s="235"/>
      <c r="F17" s="235"/>
      <c r="G17" s="230">
        <v>0</v>
      </c>
      <c r="H17" s="173"/>
      <c r="I17" s="173"/>
      <c r="J17" s="173"/>
      <c r="K17" s="175"/>
      <c r="L17" s="95"/>
      <c r="M17" s="95"/>
    </row>
    <row r="18" spans="1:13" ht="12.75" customHeight="1" x14ac:dyDescent="0.2">
      <c r="A18" s="213" t="s">
        <v>307</v>
      </c>
      <c r="B18" s="212" t="s">
        <v>71</v>
      </c>
      <c r="C18" s="10" t="s">
        <v>55</v>
      </c>
      <c r="D18" s="218" t="s">
        <v>107</v>
      </c>
      <c r="E18" s="235"/>
      <c r="F18" s="235"/>
      <c r="G18" s="230">
        <v>0</v>
      </c>
      <c r="H18" s="173"/>
      <c r="I18" s="173"/>
      <c r="J18" s="173"/>
      <c r="K18" s="232">
        <v>2.92</v>
      </c>
      <c r="L18" s="95"/>
      <c r="M18" s="95"/>
    </row>
    <row r="19" spans="1:13" ht="12.75" customHeight="1" x14ac:dyDescent="0.2">
      <c r="A19" s="213" t="s">
        <v>384</v>
      </c>
      <c r="B19" s="212" t="s">
        <v>244</v>
      </c>
      <c r="C19" s="10" t="s">
        <v>56</v>
      </c>
      <c r="D19" s="10" t="s">
        <v>79</v>
      </c>
      <c r="E19" s="235"/>
      <c r="F19" s="235"/>
      <c r="G19" s="230">
        <v>0</v>
      </c>
      <c r="H19" s="230">
        <v>16</v>
      </c>
      <c r="I19" s="230">
        <v>28</v>
      </c>
      <c r="J19" s="230">
        <v>14</v>
      </c>
      <c r="K19" s="232">
        <v>5.8</v>
      </c>
      <c r="L19" s="95"/>
      <c r="M19" s="95"/>
    </row>
    <row r="20" spans="1:13" ht="12.75" customHeight="1" x14ac:dyDescent="0.2">
      <c r="A20" s="213" t="s">
        <v>411</v>
      </c>
      <c r="B20" s="212" t="s">
        <v>264</v>
      </c>
      <c r="C20" s="10" t="s">
        <v>56</v>
      </c>
      <c r="D20" s="10" t="s">
        <v>79</v>
      </c>
      <c r="E20" s="235"/>
      <c r="F20" s="235"/>
      <c r="G20" s="173"/>
      <c r="H20" s="173"/>
      <c r="I20" s="173"/>
      <c r="J20" s="173"/>
      <c r="K20" s="175"/>
      <c r="L20" s="95"/>
      <c r="M20" s="95"/>
    </row>
    <row r="21" spans="1:13" ht="12.75" customHeight="1" x14ac:dyDescent="0.2">
      <c r="A21" s="213" t="s">
        <v>385</v>
      </c>
      <c r="B21" s="212" t="s">
        <v>72</v>
      </c>
      <c r="C21" s="10" t="s">
        <v>56</v>
      </c>
      <c r="D21" s="10" t="s">
        <v>79</v>
      </c>
      <c r="E21" s="235"/>
      <c r="F21" s="235"/>
      <c r="G21" s="230">
        <v>0</v>
      </c>
      <c r="H21" s="230">
        <v>6</v>
      </c>
      <c r="I21" s="230">
        <v>19</v>
      </c>
      <c r="J21" s="230">
        <v>4</v>
      </c>
      <c r="K21" s="175"/>
      <c r="L21" s="95"/>
      <c r="M21" s="95"/>
    </row>
    <row r="22" spans="1:13" ht="12.75" customHeight="1" x14ac:dyDescent="0.2">
      <c r="A22" s="213" t="s">
        <v>386</v>
      </c>
      <c r="B22" s="212" t="s">
        <v>73</v>
      </c>
      <c r="C22" s="10" t="s">
        <v>55</v>
      </c>
      <c r="D22" s="10" t="s">
        <v>79</v>
      </c>
      <c r="E22" s="235"/>
      <c r="F22" s="235"/>
      <c r="G22" s="230">
        <v>0</v>
      </c>
      <c r="H22" s="230">
        <v>10</v>
      </c>
      <c r="I22" s="230">
        <v>23</v>
      </c>
      <c r="J22" s="230">
        <v>7</v>
      </c>
      <c r="K22" s="175"/>
      <c r="L22" s="95"/>
      <c r="M22" s="95"/>
    </row>
    <row r="23" spans="1:13" ht="12.75" customHeight="1" x14ac:dyDescent="0.2">
      <c r="A23" s="213" t="s">
        <v>387</v>
      </c>
      <c r="B23" s="177" t="s">
        <v>74</v>
      </c>
      <c r="C23" s="178" t="s">
        <v>55</v>
      </c>
      <c r="D23" s="178" t="s">
        <v>79</v>
      </c>
      <c r="E23" s="225">
        <v>1012.4</v>
      </c>
      <c r="F23" s="231">
        <v>96</v>
      </c>
      <c r="G23" s="230">
        <v>0.3</v>
      </c>
      <c r="H23" s="230">
        <v>19.2</v>
      </c>
      <c r="I23" s="230">
        <v>27.8</v>
      </c>
      <c r="J23" s="230">
        <v>19.2</v>
      </c>
      <c r="K23" s="232">
        <v>4.68</v>
      </c>
      <c r="L23" s="95"/>
      <c r="M23" s="95"/>
    </row>
    <row r="24" spans="1:13" ht="12.75" customHeight="1" x14ac:dyDescent="0.2">
      <c r="A24" s="213" t="s">
        <v>388</v>
      </c>
      <c r="B24" s="212" t="s">
        <v>228</v>
      </c>
      <c r="C24" s="10" t="s">
        <v>106</v>
      </c>
      <c r="D24" s="10" t="s">
        <v>79</v>
      </c>
      <c r="E24" s="235"/>
      <c r="F24" s="235"/>
      <c r="G24" s="230">
        <v>8.5</v>
      </c>
      <c r="H24" s="230">
        <v>18</v>
      </c>
      <c r="I24" s="230">
        <v>26</v>
      </c>
      <c r="J24" s="230">
        <v>17</v>
      </c>
      <c r="K24" s="175"/>
      <c r="L24" s="95"/>
      <c r="M24" s="95"/>
    </row>
    <row r="25" spans="1:13" ht="12.75" customHeight="1" x14ac:dyDescent="0.2">
      <c r="A25" s="213" t="s">
        <v>389</v>
      </c>
      <c r="B25" s="212" t="s">
        <v>212</v>
      </c>
      <c r="C25" s="10" t="s">
        <v>106</v>
      </c>
      <c r="D25" s="10" t="s">
        <v>79</v>
      </c>
      <c r="E25" s="235"/>
      <c r="F25" s="235"/>
      <c r="G25" s="230"/>
      <c r="H25" s="230"/>
      <c r="I25" s="230"/>
      <c r="J25" s="230"/>
      <c r="K25" s="175"/>
      <c r="L25" s="95"/>
      <c r="M25" s="95"/>
    </row>
    <row r="26" spans="1:13" ht="12.75" customHeight="1" x14ac:dyDescent="0.2">
      <c r="A26" s="213" t="s">
        <v>390</v>
      </c>
      <c r="B26" s="212" t="s">
        <v>245</v>
      </c>
      <c r="C26" s="10" t="s">
        <v>56</v>
      </c>
      <c r="D26" s="10" t="s">
        <v>79</v>
      </c>
      <c r="E26" s="235"/>
      <c r="F26" s="235"/>
      <c r="G26" s="230">
        <v>0</v>
      </c>
      <c r="H26" s="230">
        <v>14</v>
      </c>
      <c r="I26" s="230">
        <v>26</v>
      </c>
      <c r="J26" s="230">
        <v>12</v>
      </c>
      <c r="K26" s="175"/>
      <c r="L26" s="95"/>
      <c r="M26" s="95"/>
    </row>
    <row r="27" spans="1:13" ht="12.75" customHeight="1" x14ac:dyDescent="0.2">
      <c r="A27" s="213" t="s">
        <v>412</v>
      </c>
      <c r="B27" s="212" t="s">
        <v>265</v>
      </c>
      <c r="C27" s="10" t="s">
        <v>56</v>
      </c>
      <c r="D27" s="10" t="s">
        <v>79</v>
      </c>
      <c r="E27" s="235"/>
      <c r="F27" s="235"/>
      <c r="G27" s="173"/>
      <c r="H27" s="173"/>
      <c r="I27" s="173"/>
      <c r="J27" s="173"/>
      <c r="K27" s="175"/>
      <c r="L27" s="95"/>
      <c r="M27" s="95"/>
    </row>
    <row r="28" spans="1:13" ht="12.75" customHeight="1" x14ac:dyDescent="0.2">
      <c r="A28" s="213" t="s">
        <v>391</v>
      </c>
      <c r="B28" s="212" t="s">
        <v>246</v>
      </c>
      <c r="C28" s="10" t="s">
        <v>56</v>
      </c>
      <c r="D28" s="10" t="s">
        <v>79</v>
      </c>
      <c r="E28" s="235"/>
      <c r="F28" s="235"/>
      <c r="G28" s="230">
        <v>25</v>
      </c>
      <c r="H28" s="230">
        <v>23</v>
      </c>
      <c r="I28" s="230">
        <v>32</v>
      </c>
      <c r="J28" s="230">
        <v>21</v>
      </c>
      <c r="K28" s="232"/>
      <c r="L28" s="95"/>
      <c r="M28" s="95"/>
    </row>
    <row r="29" spans="1:13" ht="12.75" customHeight="1" x14ac:dyDescent="0.2">
      <c r="A29" s="213" t="s">
        <v>392</v>
      </c>
      <c r="B29" s="212" t="s">
        <v>247</v>
      </c>
      <c r="C29" s="10" t="s">
        <v>106</v>
      </c>
      <c r="D29" s="10" t="s">
        <v>79</v>
      </c>
      <c r="E29" s="235"/>
      <c r="F29" s="235"/>
      <c r="G29" s="224"/>
      <c r="H29" s="172"/>
      <c r="I29" s="172"/>
      <c r="J29" s="172"/>
      <c r="K29" s="175"/>
      <c r="L29" s="95"/>
      <c r="M29" s="95"/>
    </row>
    <row r="30" spans="1:13" ht="12.75" customHeight="1" x14ac:dyDescent="0.2">
      <c r="A30" s="213" t="s">
        <v>393</v>
      </c>
      <c r="B30" s="212" t="s">
        <v>213</v>
      </c>
      <c r="C30" s="10" t="s">
        <v>106</v>
      </c>
      <c r="D30" s="10" t="s">
        <v>79</v>
      </c>
      <c r="E30" s="235"/>
      <c r="F30" s="235"/>
      <c r="G30" s="230">
        <v>8</v>
      </c>
      <c r="H30" s="230">
        <v>13</v>
      </c>
      <c r="I30" s="230">
        <v>22</v>
      </c>
      <c r="J30" s="230">
        <v>13</v>
      </c>
      <c r="K30" s="232">
        <v>6.75</v>
      </c>
      <c r="L30" s="95"/>
      <c r="M30" s="95"/>
    </row>
    <row r="31" spans="1:13" ht="12.75" customHeight="1" x14ac:dyDescent="0.2">
      <c r="A31" s="213" t="s">
        <v>394</v>
      </c>
      <c r="B31" s="212" t="s">
        <v>214</v>
      </c>
      <c r="C31" s="10" t="s">
        <v>106</v>
      </c>
      <c r="D31" s="10" t="s">
        <v>79</v>
      </c>
      <c r="E31" s="235"/>
      <c r="F31" s="235"/>
      <c r="G31" s="230">
        <v>9</v>
      </c>
      <c r="H31" s="230">
        <v>14</v>
      </c>
      <c r="I31" s="230">
        <v>24</v>
      </c>
      <c r="J31" s="230">
        <v>13</v>
      </c>
      <c r="K31" s="232">
        <v>2.9</v>
      </c>
      <c r="L31" s="95"/>
      <c r="M31" s="95"/>
    </row>
    <row r="32" spans="1:13" ht="12.75" customHeight="1" x14ac:dyDescent="0.2">
      <c r="A32" s="213" t="s">
        <v>274</v>
      </c>
      <c r="B32" s="212" t="s">
        <v>75</v>
      </c>
      <c r="C32" s="10" t="s">
        <v>106</v>
      </c>
      <c r="D32" s="10" t="s">
        <v>79</v>
      </c>
      <c r="E32" s="235"/>
      <c r="F32" s="235"/>
      <c r="G32" s="230">
        <v>32</v>
      </c>
      <c r="H32" s="230">
        <v>25</v>
      </c>
      <c r="I32" s="230">
        <v>35</v>
      </c>
      <c r="J32" s="230">
        <v>24</v>
      </c>
      <c r="K32" s="232">
        <v>2.59</v>
      </c>
      <c r="L32" s="95"/>
      <c r="M32" s="95"/>
    </row>
    <row r="33" spans="1:13" ht="12.75" customHeight="1" x14ac:dyDescent="0.2">
      <c r="A33" s="213" t="s">
        <v>395</v>
      </c>
      <c r="B33" s="212" t="s">
        <v>200</v>
      </c>
      <c r="C33" s="10" t="s">
        <v>106</v>
      </c>
      <c r="D33" s="10" t="s">
        <v>79</v>
      </c>
      <c r="E33" s="235"/>
      <c r="F33" s="235"/>
      <c r="G33" s="230">
        <v>0</v>
      </c>
      <c r="H33" s="230">
        <v>22</v>
      </c>
      <c r="I33" s="230">
        <v>34</v>
      </c>
      <c r="J33" s="230">
        <v>21</v>
      </c>
      <c r="K33" s="175"/>
      <c r="L33" s="95"/>
      <c r="M33" s="95"/>
    </row>
    <row r="34" spans="1:13" ht="12.75" customHeight="1" x14ac:dyDescent="0.2">
      <c r="A34" s="213" t="s">
        <v>275</v>
      </c>
      <c r="B34" s="212" t="s">
        <v>76</v>
      </c>
      <c r="C34" s="10" t="s">
        <v>106</v>
      </c>
      <c r="D34" s="10" t="s">
        <v>79</v>
      </c>
      <c r="E34" s="235"/>
      <c r="F34" s="235"/>
      <c r="G34" s="230">
        <v>0</v>
      </c>
      <c r="H34" s="230">
        <v>23</v>
      </c>
      <c r="I34" s="230">
        <v>34.5</v>
      </c>
      <c r="J34" s="230">
        <v>22.5</v>
      </c>
      <c r="K34" s="175"/>
      <c r="L34" s="95"/>
      <c r="M34" s="95"/>
    </row>
    <row r="35" spans="1:13" ht="12.75" customHeight="1" x14ac:dyDescent="0.2">
      <c r="A35" s="213" t="s">
        <v>396</v>
      </c>
      <c r="B35" s="212" t="s">
        <v>205</v>
      </c>
      <c r="C35" s="10" t="s">
        <v>106</v>
      </c>
      <c r="D35" s="10" t="s">
        <v>79</v>
      </c>
      <c r="E35" s="235"/>
      <c r="F35" s="235"/>
      <c r="G35" s="230">
        <v>0</v>
      </c>
      <c r="H35" s="230">
        <v>24</v>
      </c>
      <c r="I35" s="230">
        <v>35</v>
      </c>
      <c r="J35" s="230">
        <v>23</v>
      </c>
      <c r="K35" s="232">
        <v>5.3</v>
      </c>
      <c r="L35" s="95"/>
      <c r="M35" s="95"/>
    </row>
    <row r="36" spans="1:13" ht="12.75" customHeight="1" x14ac:dyDescent="0.2">
      <c r="A36" s="213" t="s">
        <v>308</v>
      </c>
      <c r="B36" s="212" t="s">
        <v>77</v>
      </c>
      <c r="C36" s="10" t="s">
        <v>106</v>
      </c>
      <c r="D36" s="10" t="s">
        <v>79</v>
      </c>
      <c r="E36" s="235"/>
      <c r="F36" s="235"/>
      <c r="G36" s="230">
        <v>43</v>
      </c>
      <c r="H36" s="230">
        <v>24.5</v>
      </c>
      <c r="I36" s="230">
        <v>35</v>
      </c>
      <c r="J36" s="230">
        <v>23</v>
      </c>
      <c r="K36" s="232">
        <v>4.76</v>
      </c>
      <c r="L36" s="95"/>
      <c r="M36" s="95"/>
    </row>
    <row r="37" spans="1:13" ht="12.75" customHeight="1" x14ac:dyDescent="0.2">
      <c r="A37" s="213" t="s">
        <v>397</v>
      </c>
      <c r="B37" s="212" t="s">
        <v>78</v>
      </c>
      <c r="C37" s="10" t="s">
        <v>106</v>
      </c>
      <c r="D37" s="10" t="s">
        <v>79</v>
      </c>
      <c r="E37" s="235"/>
      <c r="F37" s="235"/>
      <c r="G37" s="230" t="s">
        <v>428</v>
      </c>
      <c r="H37" s="173"/>
      <c r="I37" s="173"/>
      <c r="J37" s="173"/>
      <c r="K37" s="175"/>
      <c r="L37" s="95"/>
      <c r="M37" s="95"/>
    </row>
    <row r="38" spans="1:13" ht="12.75" customHeight="1" x14ac:dyDescent="0.2">
      <c r="A38" s="213" t="s">
        <v>309</v>
      </c>
      <c r="B38" s="212" t="s">
        <v>79</v>
      </c>
      <c r="C38" s="10" t="s">
        <v>106</v>
      </c>
      <c r="D38" s="10" t="s">
        <v>79</v>
      </c>
      <c r="E38" s="235"/>
      <c r="F38" s="235"/>
      <c r="G38" s="230">
        <v>0</v>
      </c>
      <c r="H38" s="173"/>
      <c r="I38" s="173"/>
      <c r="J38" s="173"/>
      <c r="K38" s="175"/>
      <c r="L38" s="95"/>
      <c r="M38" s="95"/>
    </row>
    <row r="39" spans="1:13" ht="12.75" customHeight="1" x14ac:dyDescent="0.2">
      <c r="A39" s="213" t="s">
        <v>398</v>
      </c>
      <c r="B39" s="212" t="s">
        <v>215</v>
      </c>
      <c r="C39" s="10" t="s">
        <v>106</v>
      </c>
      <c r="D39" s="10" t="s">
        <v>79</v>
      </c>
      <c r="E39" s="235"/>
      <c r="F39" s="235"/>
      <c r="G39" s="230">
        <v>3.4</v>
      </c>
      <c r="H39" s="230">
        <v>19</v>
      </c>
      <c r="I39" s="230">
        <v>26.5</v>
      </c>
      <c r="J39" s="230">
        <v>18.5</v>
      </c>
      <c r="K39" s="175"/>
      <c r="L39" s="95"/>
      <c r="M39" s="95"/>
    </row>
    <row r="40" spans="1:13" ht="12.75" customHeight="1" x14ac:dyDescent="0.2">
      <c r="A40" s="213" t="s">
        <v>399</v>
      </c>
      <c r="B40" s="212" t="s">
        <v>80</v>
      </c>
      <c r="C40" s="10" t="s">
        <v>106</v>
      </c>
      <c r="D40" s="10" t="s">
        <v>79</v>
      </c>
      <c r="E40" s="235"/>
      <c r="F40" s="235"/>
      <c r="G40" s="230">
        <v>7.1</v>
      </c>
      <c r="H40" s="230">
        <v>6</v>
      </c>
      <c r="I40" s="230">
        <v>18</v>
      </c>
      <c r="J40" s="230">
        <v>5</v>
      </c>
      <c r="K40" s="232">
        <v>1</v>
      </c>
      <c r="L40" s="95"/>
      <c r="M40" s="95"/>
    </row>
    <row r="41" spans="1:13" ht="12.75" customHeight="1" x14ac:dyDescent="0.2">
      <c r="A41" s="213" t="s">
        <v>400</v>
      </c>
      <c r="B41" s="212" t="s">
        <v>248</v>
      </c>
      <c r="C41" s="10" t="s">
        <v>106</v>
      </c>
      <c r="D41" s="10" t="s">
        <v>79</v>
      </c>
      <c r="E41" s="235"/>
      <c r="F41" s="235"/>
      <c r="G41" s="230">
        <v>22.3</v>
      </c>
      <c r="H41" s="230">
        <v>25</v>
      </c>
      <c r="I41" s="230">
        <v>38</v>
      </c>
      <c r="J41" s="230">
        <v>24</v>
      </c>
      <c r="K41" s="175"/>
      <c r="L41" s="95"/>
      <c r="M41" s="95"/>
    </row>
    <row r="42" spans="1:13" ht="12.75" customHeight="1" x14ac:dyDescent="0.2">
      <c r="A42" s="213" t="s">
        <v>312</v>
      </c>
      <c r="B42" s="212" t="s">
        <v>249</v>
      </c>
      <c r="C42" s="10" t="s">
        <v>55</v>
      </c>
      <c r="D42" s="10" t="s">
        <v>79</v>
      </c>
      <c r="E42" s="235"/>
      <c r="F42" s="235"/>
      <c r="G42" s="230">
        <v>0</v>
      </c>
      <c r="H42" s="230">
        <v>24</v>
      </c>
      <c r="I42" s="230">
        <v>35</v>
      </c>
      <c r="J42" s="230">
        <v>23</v>
      </c>
      <c r="K42" s="175"/>
      <c r="L42" s="95"/>
      <c r="M42" s="95"/>
    </row>
    <row r="43" spans="1:13" ht="12.75" customHeight="1" x14ac:dyDescent="0.2">
      <c r="A43" s="213" t="s">
        <v>313</v>
      </c>
      <c r="B43" s="212" t="s">
        <v>82</v>
      </c>
      <c r="C43" s="10" t="s">
        <v>55</v>
      </c>
      <c r="D43" s="10" t="s">
        <v>79</v>
      </c>
      <c r="E43" s="235"/>
      <c r="F43" s="235"/>
      <c r="G43" s="230">
        <v>11.5</v>
      </c>
      <c r="H43" s="230">
        <v>26</v>
      </c>
      <c r="I43" s="230">
        <v>32</v>
      </c>
      <c r="J43" s="230">
        <v>25.5</v>
      </c>
      <c r="K43" s="232">
        <v>4.74</v>
      </c>
      <c r="L43" s="95"/>
      <c r="M43" s="95"/>
    </row>
    <row r="44" spans="1:13" ht="12.75" customHeight="1" x14ac:dyDescent="0.2">
      <c r="A44" s="213" t="s">
        <v>315</v>
      </c>
      <c r="B44" s="212" t="s">
        <v>250</v>
      </c>
      <c r="C44" s="10" t="s">
        <v>106</v>
      </c>
      <c r="D44" s="10" t="s">
        <v>79</v>
      </c>
      <c r="E44" s="235"/>
      <c r="F44" s="235"/>
      <c r="G44" s="230">
        <v>4.5</v>
      </c>
      <c r="H44" s="230">
        <v>23</v>
      </c>
      <c r="I44" s="230">
        <v>32.5</v>
      </c>
      <c r="J44" s="230">
        <v>22.5</v>
      </c>
      <c r="K44" s="232">
        <v>3.74</v>
      </c>
      <c r="L44" s="95"/>
      <c r="M44" s="95"/>
    </row>
    <row r="45" spans="1:13" ht="12.75" customHeight="1" x14ac:dyDescent="0.2">
      <c r="A45" s="213" t="s">
        <v>316</v>
      </c>
      <c r="B45" s="212" t="s">
        <v>84</v>
      </c>
      <c r="C45" s="10" t="s">
        <v>55</v>
      </c>
      <c r="D45" s="10" t="s">
        <v>79</v>
      </c>
      <c r="E45" s="235"/>
      <c r="F45" s="235"/>
      <c r="G45" s="230">
        <v>0</v>
      </c>
      <c r="H45" s="230">
        <v>24.5</v>
      </c>
      <c r="I45" s="230">
        <v>34.5</v>
      </c>
      <c r="J45" s="230">
        <v>23.5</v>
      </c>
      <c r="K45" s="175"/>
      <c r="L45" s="95"/>
      <c r="M45" s="95"/>
    </row>
    <row r="46" spans="1:13" ht="12.75" customHeight="1" x14ac:dyDescent="0.2">
      <c r="A46" s="213" t="s">
        <v>319</v>
      </c>
      <c r="B46" s="212" t="s">
        <v>85</v>
      </c>
      <c r="C46" s="10" t="s">
        <v>55</v>
      </c>
      <c r="D46" s="10" t="s">
        <v>79</v>
      </c>
      <c r="E46" s="235"/>
      <c r="F46" s="235"/>
      <c r="G46" s="230">
        <v>0.5</v>
      </c>
      <c r="H46" s="230">
        <v>23</v>
      </c>
      <c r="I46" s="230">
        <v>31</v>
      </c>
      <c r="J46" s="230">
        <v>21.5</v>
      </c>
      <c r="K46" s="175"/>
      <c r="L46" s="95"/>
      <c r="M46" s="95"/>
    </row>
    <row r="47" spans="1:13" ht="12.75" customHeight="1" x14ac:dyDescent="0.2">
      <c r="A47" s="213" t="s">
        <v>317</v>
      </c>
      <c r="B47" s="212" t="s">
        <v>86</v>
      </c>
      <c r="C47" s="10" t="s">
        <v>55</v>
      </c>
      <c r="D47" s="10" t="s">
        <v>79</v>
      </c>
      <c r="E47" s="235"/>
      <c r="F47" s="235"/>
      <c r="G47" s="230">
        <v>0</v>
      </c>
      <c r="H47" s="230">
        <v>24</v>
      </c>
      <c r="I47" s="230">
        <v>36</v>
      </c>
      <c r="J47" s="230">
        <v>22</v>
      </c>
      <c r="K47" s="232">
        <v>4.5</v>
      </c>
      <c r="L47" s="95"/>
      <c r="M47" s="95"/>
    </row>
    <row r="48" spans="1:13" ht="12.75" customHeight="1" x14ac:dyDescent="0.2">
      <c r="A48" s="213" t="s">
        <v>318</v>
      </c>
      <c r="B48" s="212" t="s">
        <v>87</v>
      </c>
      <c r="C48" s="10" t="s">
        <v>55</v>
      </c>
      <c r="D48" s="10" t="s">
        <v>79</v>
      </c>
      <c r="E48" s="235"/>
      <c r="F48" s="235"/>
      <c r="G48" s="173"/>
      <c r="H48" s="173"/>
      <c r="I48" s="173"/>
      <c r="J48" s="173"/>
      <c r="K48" s="175"/>
      <c r="L48" s="95"/>
      <c r="M48" s="95"/>
    </row>
    <row r="49" spans="1:13" ht="12.75" customHeight="1" x14ac:dyDescent="0.2">
      <c r="A49" s="213" t="s">
        <v>310</v>
      </c>
      <c r="B49" s="212" t="s">
        <v>88</v>
      </c>
      <c r="C49" s="10" t="s">
        <v>55</v>
      </c>
      <c r="D49" s="10" t="s">
        <v>79</v>
      </c>
      <c r="E49" s="235"/>
      <c r="F49" s="235"/>
      <c r="G49" s="230">
        <v>0</v>
      </c>
      <c r="H49" s="173"/>
      <c r="I49" s="173"/>
      <c r="J49" s="173"/>
      <c r="K49" s="175"/>
      <c r="L49" s="95"/>
      <c r="M49" s="95"/>
    </row>
    <row r="50" spans="1:13" ht="12.75" customHeight="1" x14ac:dyDescent="0.2">
      <c r="A50" s="213" t="s">
        <v>401</v>
      </c>
      <c r="B50" s="212" t="s">
        <v>89</v>
      </c>
      <c r="C50" s="10" t="s">
        <v>55</v>
      </c>
      <c r="D50" s="10" t="s">
        <v>79</v>
      </c>
      <c r="E50" s="235"/>
      <c r="F50" s="235"/>
      <c r="G50" s="230">
        <v>3.2</v>
      </c>
      <c r="H50" s="230">
        <v>24</v>
      </c>
      <c r="I50" s="230">
        <v>32.5</v>
      </c>
      <c r="J50" s="230">
        <v>23.5</v>
      </c>
      <c r="K50" s="175"/>
      <c r="L50" s="95"/>
      <c r="M50" s="95"/>
    </row>
    <row r="51" spans="1:13" ht="12.75" customHeight="1" x14ac:dyDescent="0.2">
      <c r="A51" s="213" t="s">
        <v>424</v>
      </c>
      <c r="B51" s="212" t="s">
        <v>425</v>
      </c>
      <c r="C51" s="10" t="s">
        <v>55</v>
      </c>
      <c r="D51" s="10" t="s">
        <v>79</v>
      </c>
      <c r="E51" s="235"/>
      <c r="F51" s="235"/>
      <c r="G51" s="230">
        <v>6</v>
      </c>
      <c r="H51" s="230">
        <v>27</v>
      </c>
      <c r="I51" s="230">
        <v>34</v>
      </c>
      <c r="J51" s="230">
        <v>24</v>
      </c>
      <c r="K51" s="175"/>
      <c r="L51" s="95"/>
      <c r="M51" s="95"/>
    </row>
    <row r="52" spans="1:13" ht="12.75" customHeight="1" x14ac:dyDescent="0.2">
      <c r="A52" s="213" t="s">
        <v>321</v>
      </c>
      <c r="B52" s="212" t="s">
        <v>90</v>
      </c>
      <c r="C52" s="10" t="s">
        <v>55</v>
      </c>
      <c r="D52" s="10" t="s">
        <v>79</v>
      </c>
      <c r="E52" s="235"/>
      <c r="F52" s="235"/>
      <c r="G52" s="230">
        <v>0</v>
      </c>
      <c r="H52" s="230">
        <v>25</v>
      </c>
      <c r="I52" s="230">
        <v>33.5</v>
      </c>
      <c r="J52" s="230">
        <v>23</v>
      </c>
      <c r="K52" s="232">
        <v>2.1800000000000002</v>
      </c>
      <c r="L52" s="95"/>
      <c r="M52" s="95"/>
    </row>
    <row r="53" spans="1:13" ht="12.75" customHeight="1" x14ac:dyDescent="0.2">
      <c r="A53" s="213" t="s">
        <v>402</v>
      </c>
      <c r="B53" s="212" t="s">
        <v>91</v>
      </c>
      <c r="C53" s="10" t="s">
        <v>55</v>
      </c>
      <c r="D53" s="10" t="s">
        <v>79</v>
      </c>
      <c r="E53" s="235"/>
      <c r="F53" s="235"/>
      <c r="G53" s="240"/>
      <c r="H53" s="240"/>
      <c r="I53" s="240"/>
      <c r="J53" s="240"/>
      <c r="K53" s="175"/>
      <c r="L53" s="95"/>
      <c r="M53" s="95"/>
    </row>
    <row r="54" spans="1:13" ht="12.75" customHeight="1" x14ac:dyDescent="0.2">
      <c r="A54" s="213" t="s">
        <v>403</v>
      </c>
      <c r="B54" s="212" t="s">
        <v>92</v>
      </c>
      <c r="C54" s="10" t="s">
        <v>55</v>
      </c>
      <c r="D54" s="10" t="s">
        <v>79</v>
      </c>
      <c r="E54" s="235"/>
      <c r="F54" s="235"/>
      <c r="G54" s="230">
        <v>8.5</v>
      </c>
      <c r="H54" s="173"/>
      <c r="I54" s="173"/>
      <c r="J54" s="173"/>
      <c r="K54" s="175"/>
      <c r="L54" s="95"/>
      <c r="M54" s="95"/>
    </row>
    <row r="55" spans="1:13" ht="12.75" customHeight="1" x14ac:dyDescent="0.2">
      <c r="A55" s="213" t="s">
        <v>404</v>
      </c>
      <c r="B55" s="212" t="s">
        <v>216</v>
      </c>
      <c r="C55" s="10" t="s">
        <v>55</v>
      </c>
      <c r="D55" s="10" t="s">
        <v>79</v>
      </c>
      <c r="E55" s="235"/>
      <c r="F55" s="235"/>
      <c r="G55" s="230">
        <v>0</v>
      </c>
      <c r="H55" s="230">
        <v>22.5</v>
      </c>
      <c r="I55" s="230">
        <v>32</v>
      </c>
      <c r="J55" s="230">
        <v>20</v>
      </c>
      <c r="K55" s="232">
        <v>2.83</v>
      </c>
      <c r="L55" s="95"/>
      <c r="M55" s="95"/>
    </row>
    <row r="56" spans="1:13" ht="12.75" customHeight="1" x14ac:dyDescent="0.2">
      <c r="A56" s="213" t="s">
        <v>324</v>
      </c>
      <c r="B56" s="212" t="s">
        <v>251</v>
      </c>
      <c r="C56" s="10" t="s">
        <v>55</v>
      </c>
      <c r="D56" s="219" t="s">
        <v>102</v>
      </c>
      <c r="E56" s="235"/>
      <c r="F56" s="235"/>
      <c r="G56" s="230">
        <v>10</v>
      </c>
      <c r="H56" s="230">
        <v>20</v>
      </c>
      <c r="I56" s="230">
        <v>32.5</v>
      </c>
      <c r="J56" s="230">
        <v>19</v>
      </c>
      <c r="K56" s="232">
        <v>3.27</v>
      </c>
      <c r="L56" s="95"/>
      <c r="M56" s="95"/>
    </row>
    <row r="57" spans="1:13" ht="12.75" customHeight="1" x14ac:dyDescent="0.2">
      <c r="A57" s="213" t="s">
        <v>325</v>
      </c>
      <c r="B57" s="212" t="s">
        <v>94</v>
      </c>
      <c r="C57" s="10" t="s">
        <v>55</v>
      </c>
      <c r="D57" s="219" t="s">
        <v>102</v>
      </c>
      <c r="E57" s="235"/>
      <c r="F57" s="235"/>
      <c r="G57" s="230">
        <v>97.8</v>
      </c>
      <c r="H57" s="230">
        <v>25</v>
      </c>
      <c r="I57" s="230">
        <v>34</v>
      </c>
      <c r="J57" s="230">
        <v>23</v>
      </c>
      <c r="K57" s="232"/>
      <c r="L57" s="95"/>
      <c r="M57" s="95"/>
    </row>
    <row r="58" spans="1:13" ht="12.75" customHeight="1" x14ac:dyDescent="0.2">
      <c r="A58" s="213" t="s">
        <v>327</v>
      </c>
      <c r="B58" s="212" t="s">
        <v>95</v>
      </c>
      <c r="C58" s="10" t="s">
        <v>55</v>
      </c>
      <c r="D58" s="219" t="s">
        <v>102</v>
      </c>
      <c r="E58" s="235"/>
      <c r="F58" s="235"/>
      <c r="G58" s="226">
        <v>5</v>
      </c>
      <c r="H58" s="226">
        <v>23</v>
      </c>
      <c r="I58" s="226">
        <v>35</v>
      </c>
      <c r="J58" s="226">
        <v>22</v>
      </c>
      <c r="K58" s="227">
        <v>2.71</v>
      </c>
      <c r="L58" s="95"/>
      <c r="M58" s="95"/>
    </row>
    <row r="59" spans="1:13" ht="12.75" customHeight="1" x14ac:dyDescent="0.2">
      <c r="A59" s="213" t="s">
        <v>323</v>
      </c>
      <c r="B59" s="212" t="s">
        <v>96</v>
      </c>
      <c r="C59" s="10" t="s">
        <v>55</v>
      </c>
      <c r="D59" s="219" t="s">
        <v>102</v>
      </c>
      <c r="E59" s="235"/>
      <c r="F59" s="235"/>
      <c r="G59" s="230">
        <v>3.8</v>
      </c>
      <c r="H59" s="230">
        <v>24</v>
      </c>
      <c r="I59" s="230">
        <v>33.5</v>
      </c>
      <c r="J59" s="230">
        <v>23.5</v>
      </c>
      <c r="K59" s="232">
        <v>2.25</v>
      </c>
      <c r="L59" s="95"/>
      <c r="M59" s="95"/>
    </row>
    <row r="60" spans="1:13" ht="12.75" customHeight="1" x14ac:dyDescent="0.2">
      <c r="A60" s="213" t="s">
        <v>405</v>
      </c>
      <c r="B60" s="212" t="s">
        <v>252</v>
      </c>
      <c r="C60" s="10" t="s">
        <v>55</v>
      </c>
      <c r="D60" s="219" t="s">
        <v>102</v>
      </c>
      <c r="E60" s="235"/>
      <c r="F60" s="235"/>
      <c r="G60" s="230">
        <v>17</v>
      </c>
      <c r="H60" s="173"/>
      <c r="I60" s="173"/>
      <c r="J60" s="173"/>
      <c r="K60" s="232">
        <v>5.63</v>
      </c>
      <c r="L60" s="95"/>
      <c r="M60" s="95"/>
    </row>
    <row r="61" spans="1:13" ht="12.75" customHeight="1" x14ac:dyDescent="0.2">
      <c r="A61" s="213" t="s">
        <v>281</v>
      </c>
      <c r="B61" s="212" t="s">
        <v>99</v>
      </c>
      <c r="C61" s="10" t="s">
        <v>55</v>
      </c>
      <c r="D61" s="219" t="s">
        <v>102</v>
      </c>
      <c r="E61" s="235"/>
      <c r="F61" s="235"/>
      <c r="G61" s="230">
        <v>51</v>
      </c>
      <c r="H61" s="173"/>
      <c r="I61" s="173"/>
      <c r="J61" s="173"/>
      <c r="K61" s="232">
        <v>3.82</v>
      </c>
      <c r="L61" s="95"/>
      <c r="M61" s="95"/>
    </row>
    <row r="62" spans="1:13" ht="12.75" customHeight="1" x14ac:dyDescent="0.2">
      <c r="A62" s="213" t="s">
        <v>406</v>
      </c>
      <c r="B62" s="212" t="s">
        <v>100</v>
      </c>
      <c r="C62" s="10" t="s">
        <v>55</v>
      </c>
      <c r="D62" s="219" t="s">
        <v>102</v>
      </c>
      <c r="E62" s="235"/>
      <c r="F62" s="235"/>
      <c r="G62" s="226">
        <v>0</v>
      </c>
      <c r="H62" s="173"/>
      <c r="I62" s="173"/>
      <c r="J62" s="173"/>
      <c r="K62" s="175"/>
      <c r="L62" s="95"/>
      <c r="M62" s="95"/>
    </row>
    <row r="63" spans="1:13" ht="12.75" customHeight="1" x14ac:dyDescent="0.2">
      <c r="A63" s="213" t="s">
        <v>407</v>
      </c>
      <c r="B63" s="212" t="s">
        <v>108</v>
      </c>
      <c r="C63" s="10" t="s">
        <v>55</v>
      </c>
      <c r="D63" s="219" t="s">
        <v>102</v>
      </c>
      <c r="E63" s="235"/>
      <c r="F63" s="235"/>
      <c r="G63" s="230">
        <v>2</v>
      </c>
      <c r="H63" s="173"/>
      <c r="I63" s="173"/>
      <c r="J63" s="173"/>
      <c r="K63" s="175"/>
      <c r="L63" s="95"/>
      <c r="M63" s="95"/>
    </row>
    <row r="64" spans="1:13" ht="12.75" customHeight="1" x14ac:dyDescent="0.2">
      <c r="A64" s="213" t="s">
        <v>408</v>
      </c>
      <c r="B64" s="212" t="s">
        <v>101</v>
      </c>
      <c r="C64" s="10" t="s">
        <v>55</v>
      </c>
      <c r="D64" s="219" t="s">
        <v>102</v>
      </c>
      <c r="E64" s="235"/>
      <c r="F64" s="235"/>
      <c r="G64" s="226">
        <v>46</v>
      </c>
      <c r="H64" s="173"/>
      <c r="I64" s="173"/>
      <c r="J64" s="173"/>
      <c r="K64" s="175"/>
      <c r="L64" s="95"/>
      <c r="M64" s="95"/>
    </row>
    <row r="65" spans="1:13" ht="12.75" customHeight="1" x14ac:dyDescent="0.2">
      <c r="A65" s="213" t="s">
        <v>409</v>
      </c>
      <c r="B65" s="177" t="s">
        <v>102</v>
      </c>
      <c r="C65" s="178" t="s">
        <v>55</v>
      </c>
      <c r="D65" s="179" t="s">
        <v>102</v>
      </c>
      <c r="E65" s="225">
        <v>1011</v>
      </c>
      <c r="F65" s="231">
        <v>98</v>
      </c>
      <c r="G65" s="230">
        <v>29.9</v>
      </c>
      <c r="H65" s="230">
        <v>23.8</v>
      </c>
      <c r="I65" s="230">
        <v>33.5</v>
      </c>
      <c r="J65" s="230">
        <v>22.4</v>
      </c>
      <c r="K65" s="232">
        <v>8.4600000000000009</v>
      </c>
      <c r="L65" s="95"/>
      <c r="M65" s="95"/>
    </row>
    <row r="66" spans="1:13" ht="12.75" customHeight="1" x14ac:dyDescent="0.2">
      <c r="A66" s="213" t="s">
        <v>329</v>
      </c>
      <c r="B66" s="212" t="s">
        <v>103</v>
      </c>
      <c r="C66" s="10" t="s">
        <v>55</v>
      </c>
      <c r="D66" s="10" t="s">
        <v>104</v>
      </c>
      <c r="E66" s="235"/>
      <c r="F66" s="235"/>
      <c r="G66" s="230">
        <v>0</v>
      </c>
      <c r="H66" s="230">
        <v>23</v>
      </c>
      <c r="I66" s="230">
        <v>33</v>
      </c>
      <c r="J66" s="230">
        <v>21</v>
      </c>
      <c r="K66" s="232">
        <v>3.33</v>
      </c>
      <c r="L66" s="95"/>
      <c r="M66" s="95"/>
    </row>
    <row r="67" spans="1:13" ht="12.75" customHeight="1" thickBot="1" x14ac:dyDescent="0.25">
      <c r="A67" s="213" t="s">
        <v>330</v>
      </c>
      <c r="B67" s="220" t="s">
        <v>105</v>
      </c>
      <c r="C67" s="221" t="s">
        <v>55</v>
      </c>
      <c r="D67" s="221" t="s">
        <v>104</v>
      </c>
      <c r="E67" s="236"/>
      <c r="F67" s="236"/>
      <c r="G67" s="233"/>
      <c r="H67" s="174"/>
      <c r="I67" s="174"/>
      <c r="J67" s="174"/>
      <c r="K67" s="176"/>
      <c r="L67" s="95"/>
      <c r="M67" s="95"/>
    </row>
    <row r="68" spans="1:13" ht="13.5" thickTop="1" x14ac:dyDescent="0.2">
      <c r="A68" s="213"/>
      <c r="B68" s="95"/>
      <c r="C68" s="95"/>
      <c r="D68" s="95"/>
      <c r="E68" s="95"/>
      <c r="F68" s="95"/>
      <c r="G68" s="95"/>
      <c r="H68" s="95"/>
      <c r="I68" s="95"/>
      <c r="J68" s="95"/>
      <c r="K68" s="95"/>
      <c r="L68" s="95"/>
      <c r="M68" s="95"/>
    </row>
    <row r="73" spans="1:13" x14ac:dyDescent="0.2">
      <c r="B73" s="8"/>
    </row>
  </sheetData>
  <mergeCells count="4">
    <mergeCell ref="B1:K1"/>
    <mergeCell ref="B2:K2"/>
    <mergeCell ref="B3:K3"/>
    <mergeCell ref="B5:K5"/>
  </mergeCells>
  <phoneticPr fontId="0" type="noConversion"/>
  <printOptions horizontalCentered="1" verticalCentered="1"/>
  <pageMargins left="0.39370078740157483" right="0" top="0" bottom="0" header="0" footer="0"/>
  <pageSetup scale="79" orientation="portrait" r:id="rId1"/>
  <headerFooter alignWithMargins="0"/>
  <colBreaks count="1" manualBreakCount="1">
    <brk id="11" max="1048575" man="1"/>
  </colBreaks>
  <drawing r:id="rId2"/>
  <legacyDrawing r:id="rId3"/>
  <controls>
    <mc:AlternateContent xmlns:mc="http://schemas.openxmlformats.org/markup-compatibility/2006">
      <mc:Choice Requires="x14">
        <control shapeId="4098" r:id="rId4" name="btnActualizarClmS">
          <controlPr autoLine="0" r:id="rId5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12</xdr:col>
                <xdr:colOff>161925</xdr:colOff>
                <xdr:row>4</xdr:row>
                <xdr:rowOff>9525</xdr:rowOff>
              </to>
            </anchor>
          </controlPr>
        </control>
      </mc:Choice>
      <mc:Fallback>
        <control shapeId="4098" r:id="rId4" name="btnActualizarClmS"/>
      </mc:Fallback>
    </mc:AlternateContent>
    <mc:AlternateContent xmlns:mc="http://schemas.openxmlformats.org/markup-compatibility/2006">
      <mc:Choice Requires="x14">
        <control shapeId="4097" r:id="rId6" name="btnCapturarClmS">
          <controlPr disabled="1" autoLine="0" r:id="rId7">
            <anchor moveWithCells="1">
              <from>
                <xdr:col>11</xdr:col>
                <xdr:colOff>0</xdr:colOff>
                <xdr:row>0</xdr:row>
                <xdr:rowOff>0</xdr:rowOff>
              </from>
              <to>
                <xdr:col>12</xdr:col>
                <xdr:colOff>152400</xdr:colOff>
                <xdr:row>2</xdr:row>
                <xdr:rowOff>0</xdr:rowOff>
              </to>
            </anchor>
          </controlPr>
        </control>
      </mc:Choice>
      <mc:Fallback>
        <control shapeId="4097" r:id="rId6" name="btnCapturarClm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I45"/>
  <sheetViews>
    <sheetView workbookViewId="0">
      <pane xSplit="6" ySplit="7" topLeftCell="G8" activePane="bottomRight" state="frozen"/>
      <selection pane="topRight" activeCell="G1" sqref="G1"/>
      <selection pane="bottomLeft" activeCell="A8" sqref="A8"/>
      <selection pane="bottomRight" activeCell="G8" sqref="G8"/>
    </sheetView>
  </sheetViews>
  <sheetFormatPr baseColWidth="10" defaultRowHeight="12.75" x14ac:dyDescent="0.2"/>
  <cols>
    <col min="4" max="4" width="22.7109375" customWidth="1"/>
    <col min="6" max="6" width="13.28515625" bestFit="1" customWidth="1"/>
  </cols>
  <sheetData>
    <row r="1" spans="1:9" x14ac:dyDescent="0.2">
      <c r="A1" s="340" t="s">
        <v>190</v>
      </c>
      <c r="B1" s="406"/>
      <c r="C1" s="406"/>
      <c r="D1" s="406"/>
      <c r="E1" s="406"/>
      <c r="F1" s="406"/>
      <c r="G1" s="406"/>
      <c r="H1" s="406"/>
      <c r="I1" s="406"/>
    </row>
    <row r="2" spans="1:9" x14ac:dyDescent="0.2">
      <c r="A2" s="340" t="s">
        <v>189</v>
      </c>
      <c r="B2" s="406"/>
      <c r="C2" s="406"/>
      <c r="D2" s="406"/>
      <c r="E2" s="406"/>
      <c r="F2" s="406"/>
      <c r="G2" s="406"/>
      <c r="H2" s="406"/>
      <c r="I2" s="406"/>
    </row>
    <row r="3" spans="1:9" x14ac:dyDescent="0.2">
      <c r="A3" s="340" t="s">
        <v>191</v>
      </c>
      <c r="B3" s="406"/>
      <c r="C3" s="406"/>
      <c r="D3" s="406"/>
      <c r="E3" s="406"/>
      <c r="F3" s="406"/>
      <c r="G3" s="406"/>
      <c r="H3" s="406"/>
      <c r="I3" s="406"/>
    </row>
    <row r="4" spans="1:9" x14ac:dyDescent="0.2">
      <c r="A4" s="95"/>
      <c r="B4" s="95"/>
      <c r="C4" s="95"/>
      <c r="D4" s="223"/>
      <c r="E4" s="223"/>
      <c r="F4" s="223"/>
      <c r="G4" s="223"/>
      <c r="H4" s="95"/>
      <c r="I4" s="95"/>
    </row>
    <row r="5" spans="1:9" x14ac:dyDescent="0.2">
      <c r="B5" s="400" t="s">
        <v>473</v>
      </c>
      <c r="C5" s="407"/>
      <c r="D5" s="407"/>
      <c r="E5" s="407"/>
      <c r="F5" s="407"/>
      <c r="G5" s="407"/>
      <c r="H5" s="407"/>
      <c r="I5" s="407"/>
    </row>
    <row r="6" spans="1:9" ht="13.5" thickBot="1" x14ac:dyDescent="0.25">
      <c r="A6" s="95"/>
      <c r="B6" s="95"/>
      <c r="C6" s="95"/>
      <c r="D6" s="209"/>
      <c r="E6" s="209"/>
      <c r="F6" s="209"/>
      <c r="G6" s="209"/>
      <c r="H6" s="95"/>
      <c r="I6" s="95"/>
    </row>
    <row r="7" spans="1:9" ht="14.25" thickTop="1" thickBot="1" x14ac:dyDescent="0.25">
      <c r="A7" s="95"/>
      <c r="B7" s="95"/>
      <c r="C7" s="110" t="s">
        <v>293</v>
      </c>
      <c r="D7" s="268" t="s">
        <v>192</v>
      </c>
      <c r="E7" s="269" t="s">
        <v>2</v>
      </c>
      <c r="F7" s="269" t="s">
        <v>3</v>
      </c>
      <c r="G7" s="269" t="s">
        <v>6</v>
      </c>
    </row>
    <row r="8" spans="1:9" ht="13.5" thickTop="1" x14ac:dyDescent="0.2">
      <c r="A8" s="95"/>
      <c r="B8" s="95"/>
      <c r="C8" t="s">
        <v>419</v>
      </c>
      <c r="D8" s="274" t="s">
        <v>418</v>
      </c>
      <c r="E8" s="276" t="s">
        <v>55</v>
      </c>
      <c r="F8" s="276" t="s">
        <v>468</v>
      </c>
      <c r="G8" s="279" t="s">
        <v>428</v>
      </c>
    </row>
    <row r="9" spans="1:9" x14ac:dyDescent="0.2">
      <c r="A9" s="95"/>
      <c r="B9" s="95"/>
      <c r="C9" s="265" t="s">
        <v>439</v>
      </c>
      <c r="D9" s="275" t="s">
        <v>421</v>
      </c>
      <c r="E9" s="277" t="s">
        <v>55</v>
      </c>
      <c r="F9" s="277" t="s">
        <v>469</v>
      </c>
      <c r="G9" s="278"/>
    </row>
    <row r="10" spans="1:9" x14ac:dyDescent="0.2">
      <c r="A10" s="95"/>
      <c r="B10" s="95"/>
      <c r="C10" s="265" t="s">
        <v>440</v>
      </c>
      <c r="D10" s="275" t="s">
        <v>423</v>
      </c>
      <c r="E10" s="277" t="s">
        <v>55</v>
      </c>
      <c r="F10" s="277" t="s">
        <v>469</v>
      </c>
      <c r="G10" s="280">
        <v>23.4</v>
      </c>
    </row>
    <row r="11" spans="1:9" x14ac:dyDescent="0.2">
      <c r="A11" s="95"/>
      <c r="B11" s="95"/>
      <c r="C11" s="265" t="s">
        <v>441</v>
      </c>
      <c r="D11" s="275" t="s">
        <v>455</v>
      </c>
      <c r="E11" s="277" t="s">
        <v>55</v>
      </c>
      <c r="F11" s="277" t="s">
        <v>469</v>
      </c>
      <c r="G11" s="280">
        <v>2.5</v>
      </c>
    </row>
    <row r="12" spans="1:9" x14ac:dyDescent="0.2">
      <c r="A12" s="95"/>
      <c r="B12" s="95"/>
      <c r="C12" s="265" t="s">
        <v>442</v>
      </c>
      <c r="D12" s="275" t="s">
        <v>420</v>
      </c>
      <c r="E12" s="277" t="s">
        <v>55</v>
      </c>
      <c r="F12" s="277" t="s">
        <v>470</v>
      </c>
      <c r="G12" s="270"/>
    </row>
    <row r="13" spans="1:9" x14ac:dyDescent="0.2">
      <c r="C13" s="265" t="s">
        <v>443</v>
      </c>
      <c r="D13" s="275" t="s">
        <v>456</v>
      </c>
      <c r="E13" s="277" t="s">
        <v>55</v>
      </c>
      <c r="F13" s="277" t="s">
        <v>469</v>
      </c>
      <c r="G13" s="280" t="s">
        <v>428</v>
      </c>
    </row>
    <row r="14" spans="1:9" x14ac:dyDescent="0.2">
      <c r="C14" s="265" t="s">
        <v>444</v>
      </c>
      <c r="D14" s="275" t="s">
        <v>457</v>
      </c>
      <c r="E14" s="277" t="s">
        <v>55</v>
      </c>
      <c r="F14" s="277" t="s">
        <v>469</v>
      </c>
      <c r="G14" s="280">
        <v>10.4</v>
      </c>
    </row>
    <row r="15" spans="1:9" x14ac:dyDescent="0.2">
      <c r="C15" s="265" t="s">
        <v>445</v>
      </c>
      <c r="D15" s="275" t="s">
        <v>458</v>
      </c>
      <c r="E15" s="277" t="s">
        <v>55</v>
      </c>
      <c r="F15" s="277" t="s">
        <v>469</v>
      </c>
      <c r="G15" s="280" t="s">
        <v>428</v>
      </c>
    </row>
    <row r="16" spans="1:9" x14ac:dyDescent="0.2">
      <c r="C16" s="265" t="s">
        <v>378</v>
      </c>
      <c r="D16" s="275" t="s">
        <v>422</v>
      </c>
      <c r="E16" s="277" t="s">
        <v>55</v>
      </c>
      <c r="F16" s="277" t="s">
        <v>470</v>
      </c>
      <c r="G16" s="280">
        <v>0.1</v>
      </c>
    </row>
    <row r="17" spans="3:8" x14ac:dyDescent="0.2">
      <c r="C17" s="265" t="s">
        <v>446</v>
      </c>
      <c r="D17" s="275" t="s">
        <v>459</v>
      </c>
      <c r="E17" s="277" t="s">
        <v>55</v>
      </c>
      <c r="F17" s="277" t="s">
        <v>469</v>
      </c>
      <c r="G17" s="280" t="s">
        <v>428</v>
      </c>
    </row>
    <row r="18" spans="3:8" x14ac:dyDescent="0.2">
      <c r="C18" s="265" t="s">
        <v>476</v>
      </c>
      <c r="D18" s="275" t="s">
        <v>477</v>
      </c>
      <c r="E18" s="277" t="s">
        <v>55</v>
      </c>
      <c r="F18" s="277" t="s">
        <v>478</v>
      </c>
      <c r="G18" s="280" t="s">
        <v>428</v>
      </c>
    </row>
    <row r="19" spans="3:8" x14ac:dyDescent="0.2">
      <c r="C19" s="265" t="s">
        <v>449</v>
      </c>
      <c r="D19" s="275" t="s">
        <v>460</v>
      </c>
      <c r="E19" s="277" t="s">
        <v>56</v>
      </c>
      <c r="F19" s="277" t="s">
        <v>471</v>
      </c>
      <c r="G19" s="270"/>
    </row>
    <row r="20" spans="3:8" x14ac:dyDescent="0.2">
      <c r="C20" s="265" t="s">
        <v>447</v>
      </c>
      <c r="D20" s="275" t="s">
        <v>461</v>
      </c>
      <c r="E20" s="277" t="s">
        <v>56</v>
      </c>
      <c r="F20" s="277" t="s">
        <v>471</v>
      </c>
      <c r="G20" s="270"/>
    </row>
    <row r="21" spans="3:8" x14ac:dyDescent="0.2">
      <c r="C21" s="265" t="s">
        <v>448</v>
      </c>
      <c r="D21" s="275" t="s">
        <v>462</v>
      </c>
      <c r="E21" s="277" t="s">
        <v>56</v>
      </c>
      <c r="F21" s="277" t="s">
        <v>471</v>
      </c>
      <c r="G21" s="271"/>
    </row>
    <row r="22" spans="3:8" x14ac:dyDescent="0.2">
      <c r="C22" s="265" t="s">
        <v>474</v>
      </c>
      <c r="D22" s="275" t="s">
        <v>475</v>
      </c>
      <c r="E22" s="277" t="s">
        <v>55</v>
      </c>
      <c r="F22" s="277" t="s">
        <v>471</v>
      </c>
      <c r="G22" s="280">
        <v>18</v>
      </c>
    </row>
    <row r="23" spans="3:8" x14ac:dyDescent="0.2">
      <c r="C23" s="265" t="s">
        <v>450</v>
      </c>
      <c r="D23" s="275" t="s">
        <v>463</v>
      </c>
      <c r="E23" s="277" t="s">
        <v>55</v>
      </c>
      <c r="F23" s="277" t="s">
        <v>471</v>
      </c>
      <c r="G23" s="271"/>
    </row>
    <row r="24" spans="3:8" x14ac:dyDescent="0.2">
      <c r="C24" s="265" t="s">
        <v>451</v>
      </c>
      <c r="D24" s="275" t="s">
        <v>464</v>
      </c>
      <c r="E24" s="277" t="s">
        <v>55</v>
      </c>
      <c r="F24" s="277"/>
      <c r="G24" s="280" t="s">
        <v>428</v>
      </c>
      <c r="H24" s="30"/>
    </row>
    <row r="25" spans="3:8" x14ac:dyDescent="0.2">
      <c r="C25" s="265" t="s">
        <v>452</v>
      </c>
      <c r="D25" s="275" t="s">
        <v>465</v>
      </c>
      <c r="E25" s="277" t="s">
        <v>55</v>
      </c>
      <c r="F25" s="277" t="s">
        <v>471</v>
      </c>
      <c r="G25" s="280">
        <v>63</v>
      </c>
      <c r="H25" s="30"/>
    </row>
    <row r="26" spans="3:8" x14ac:dyDescent="0.2">
      <c r="C26" s="265" t="s">
        <v>453</v>
      </c>
      <c r="D26" s="275" t="s">
        <v>466</v>
      </c>
      <c r="E26" s="277" t="s">
        <v>55</v>
      </c>
      <c r="F26" s="277" t="s">
        <v>471</v>
      </c>
      <c r="G26" s="273"/>
      <c r="H26" s="30"/>
    </row>
    <row r="27" spans="3:8" x14ac:dyDescent="0.2">
      <c r="C27" s="265" t="s">
        <v>454</v>
      </c>
      <c r="D27" s="275" t="s">
        <v>467</v>
      </c>
      <c r="E27" s="277" t="s">
        <v>55</v>
      </c>
      <c r="F27" s="277" t="s">
        <v>472</v>
      </c>
      <c r="G27" s="272"/>
      <c r="H27" s="30"/>
    </row>
    <row r="28" spans="3:8" x14ac:dyDescent="0.2">
      <c r="C28" s="265"/>
      <c r="D28" s="267"/>
      <c r="E28" s="267"/>
      <c r="F28" s="267"/>
      <c r="G28" s="267"/>
      <c r="H28" s="30"/>
    </row>
    <row r="29" spans="3:8" x14ac:dyDescent="0.2">
      <c r="D29" s="267"/>
      <c r="E29" s="267"/>
      <c r="F29" s="267"/>
      <c r="G29" s="267"/>
      <c r="H29" s="30"/>
    </row>
    <row r="30" spans="3:8" x14ac:dyDescent="0.2">
      <c r="D30" s="267"/>
      <c r="E30" s="267"/>
      <c r="F30" s="267"/>
      <c r="G30" s="267"/>
      <c r="H30" s="30"/>
    </row>
    <row r="31" spans="3:8" x14ac:dyDescent="0.2">
      <c r="D31" s="267"/>
      <c r="E31" s="267"/>
      <c r="F31" s="267"/>
      <c r="G31" s="267"/>
      <c r="H31" s="30"/>
    </row>
    <row r="32" spans="3:8" x14ac:dyDescent="0.2">
      <c r="D32" s="267"/>
      <c r="E32" s="267"/>
      <c r="F32" s="267"/>
      <c r="G32" s="267"/>
      <c r="H32" s="30"/>
    </row>
    <row r="33" spans="4:8" x14ac:dyDescent="0.2">
      <c r="D33" s="267"/>
      <c r="E33" s="267"/>
      <c r="F33" s="267"/>
      <c r="G33" s="267"/>
      <c r="H33" s="30"/>
    </row>
    <row r="34" spans="4:8" x14ac:dyDescent="0.2">
      <c r="D34" s="267"/>
      <c r="E34" s="267"/>
      <c r="F34" s="267"/>
      <c r="G34" s="267"/>
      <c r="H34" s="30"/>
    </row>
    <row r="35" spans="4:8" x14ac:dyDescent="0.2">
      <c r="D35" s="266"/>
      <c r="E35" s="266"/>
      <c r="F35" s="266"/>
      <c r="G35" s="266"/>
    </row>
    <row r="36" spans="4:8" x14ac:dyDescent="0.2">
      <c r="D36" s="266"/>
      <c r="E36" s="266"/>
      <c r="F36" s="266"/>
      <c r="G36" s="266"/>
    </row>
    <row r="37" spans="4:8" x14ac:dyDescent="0.2">
      <c r="D37" s="266"/>
      <c r="E37" s="266"/>
      <c r="F37" s="266"/>
      <c r="G37" s="266"/>
    </row>
    <row r="38" spans="4:8" x14ac:dyDescent="0.2">
      <c r="D38" s="266"/>
      <c r="E38" s="266"/>
      <c r="F38" s="266"/>
      <c r="G38" s="266"/>
    </row>
    <row r="39" spans="4:8" x14ac:dyDescent="0.2">
      <c r="D39" s="266"/>
      <c r="E39" s="266"/>
      <c r="F39" s="266"/>
      <c r="G39" s="266"/>
    </row>
    <row r="40" spans="4:8" x14ac:dyDescent="0.2">
      <c r="D40" s="266"/>
      <c r="E40" s="266"/>
      <c r="F40" s="266"/>
      <c r="G40" s="266"/>
    </row>
    <row r="41" spans="4:8" x14ac:dyDescent="0.2">
      <c r="D41" s="266"/>
      <c r="E41" s="266"/>
      <c r="F41" s="266"/>
      <c r="G41" s="266"/>
    </row>
    <row r="42" spans="4:8" x14ac:dyDescent="0.2">
      <c r="D42" s="266"/>
      <c r="E42" s="266"/>
      <c r="F42" s="266"/>
      <c r="G42" s="266"/>
    </row>
    <row r="43" spans="4:8" x14ac:dyDescent="0.2">
      <c r="D43" s="266"/>
      <c r="E43" s="266"/>
      <c r="F43" s="266"/>
      <c r="G43" s="266"/>
    </row>
    <row r="44" spans="4:8" x14ac:dyDescent="0.2">
      <c r="D44" s="266"/>
      <c r="E44" s="266"/>
      <c r="F44" s="266"/>
      <c r="G44" s="266"/>
    </row>
    <row r="45" spans="4:8" x14ac:dyDescent="0.2">
      <c r="D45" s="266"/>
      <c r="E45" s="266"/>
      <c r="F45" s="266"/>
      <c r="G45" s="266"/>
    </row>
  </sheetData>
  <mergeCells count="4">
    <mergeCell ref="A3:I3"/>
    <mergeCell ref="A2:I2"/>
    <mergeCell ref="A1:I1"/>
    <mergeCell ref="B5:I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btnActualizarPl">
          <controlPr autoLine="0" r:id="rId4">
            <anchor moveWithCells="1">
              <from>
                <xdr:col>7</xdr:col>
                <xdr:colOff>581025</xdr:colOff>
                <xdr:row>2</xdr:row>
                <xdr:rowOff>142875</xdr:rowOff>
              </from>
              <to>
                <xdr:col>8</xdr:col>
                <xdr:colOff>742950</xdr:colOff>
                <xdr:row>4</xdr:row>
                <xdr:rowOff>142875</xdr:rowOff>
              </to>
            </anchor>
          </controlPr>
        </control>
      </mc:Choice>
      <mc:Fallback>
        <control shapeId="5122" r:id="rId3" name="btnActualizarPl"/>
      </mc:Fallback>
    </mc:AlternateContent>
    <mc:AlternateContent xmlns:mc="http://schemas.openxmlformats.org/markup-compatibility/2006">
      <mc:Choice Requires="x14">
        <control shapeId="5121" r:id="rId5" name="btnCapturarPl">
          <controlPr disabled="1" autoLine="0" r:id="rId6">
            <anchor moveWithCells="1">
              <from>
                <xdr:col>7</xdr:col>
                <xdr:colOff>581025</xdr:colOff>
                <xdr:row>0</xdr:row>
                <xdr:rowOff>133350</xdr:rowOff>
              </from>
              <to>
                <xdr:col>8</xdr:col>
                <xdr:colOff>733425</xdr:colOff>
                <xdr:row>2</xdr:row>
                <xdr:rowOff>133350</xdr:rowOff>
              </to>
            </anchor>
          </controlPr>
        </control>
      </mc:Choice>
      <mc:Fallback>
        <control shapeId="5121" r:id="rId5" name="btnCapturarP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PRESAS</vt:lpstr>
      <vt:lpstr>HIDROMETRICA</vt:lpstr>
      <vt:lpstr>Norte</vt:lpstr>
      <vt:lpstr>Sur</vt:lpstr>
      <vt:lpstr>Pluviometros</vt:lpstr>
      <vt:lpstr>HIDROMETRICA!Área_de_impresión</vt:lpstr>
      <vt:lpstr>Norte!Área_de_impresión</vt:lpstr>
      <vt:lpstr>Sur!Área_de_impresión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Jllanos</dc:creator>
  <cp:lastModifiedBy>Garcia Apodaca Irvin de Jesus</cp:lastModifiedBy>
  <cp:lastPrinted>2019-06-19T00:16:54Z</cp:lastPrinted>
  <dcterms:created xsi:type="dcterms:W3CDTF">2005-11-11T01:20:19Z</dcterms:created>
  <dcterms:modified xsi:type="dcterms:W3CDTF">2020-09-25T17:09:07Z</dcterms:modified>
</cp:coreProperties>
</file>